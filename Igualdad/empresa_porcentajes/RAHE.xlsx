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1" minimized="false" showHorizontalScroll="true" showSheetTabs="true" showVerticalScroll="true" tabRatio="600" visibility="visible"/>
  </bookViews>
  <sheets>
    <sheet name="TOTAL PLANTILLA" sheetId="1" r:id="rId4"/>
    <sheet name="EDAD" sheetId="2" r:id="rId5"/>
    <sheet name="ANTIGÜEDAD" sheetId="3" r:id="rId6"/>
    <sheet name="NIVEL DE ESTUDIOS" sheetId="4" r:id="rId7"/>
    <sheet name="MODALIDAD CONTRATO" sheetId="5" r:id="rId8"/>
    <sheet name="PORCENTAJE DE JORNADA" sheetId="6" r:id="rId9"/>
    <sheet name="PUESTOS PROFESIONALES" sheetId="7" r:id="rId10"/>
    <sheet name="PUESTOS DIRECTIVOS" sheetId="8" r:id="rId11"/>
    <sheet name="ÁREAS FUNCIONALES" sheetId="9" r:id="rId12"/>
    <sheet name="TURNOS DE TRABAJO" sheetId="10" r:id="rId13"/>
    <sheet name="HIJOS" sheetId="11" r:id="rId14"/>
    <sheet name="BAJAS" sheetId="12" r:id="rId15"/>
    <sheet name="EXCEDENCIAS" sheetId="13" r:id="rId16"/>
    <sheet name="PERMISOS RETRIBUIDOS" sheetId="14" r:id="rId17"/>
    <sheet name="FORMACIÓN" sheetId="15" r:id="rId18"/>
    <sheet name="GRUPO PROFESIONAL" sheetId="16" r:id="rId19"/>
    <sheet name="RETRIBUCIONES" sheetId="17" r:id="rId20"/>
    <sheet name="EDAD NNCC" sheetId="18" r:id="rId21"/>
    <sheet name="MODALIDAD CONTRATO NNCC" sheetId="19" r:id="rId22"/>
    <sheet name="PORCENTAJE JORNADA NNCC" sheetId="20" r:id="rId23"/>
    <sheet name="PUESTOS PROFESIONALES NNCC" sheetId="21" r:id="rId24"/>
    <sheet name="ÁREAS FUNCIONALES NNCC" sheetId="22" r:id="rId25"/>
    <sheet name="EDAD PERSONAL SUBROGADO" sheetId="23" r:id="rId26"/>
    <sheet name="MODALIDAD CONTRATO PERSONAL SUB" sheetId="24" r:id="rId27"/>
    <sheet name="PORCENTAJE JORNADA PERSONAL SUB" sheetId="25" r:id="rId28"/>
    <sheet name="PUESTOS DIRECTIVOS PERSONAL SUB" sheetId="26" r:id="rId29"/>
    <sheet name="PUESTOS PROF. PERSONAL SUBROGAD" sheetId="27" r:id="rId3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<sst xmlns="http://schemas.openxmlformats.org/spreadsheetml/2006/main" uniqueCount="141">
  <si>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TOTAL</t>
  </si>
  <si>
    <t>MUJERES</t>
  </si>
  <si>
    <t>Índice distribución</t>
  </si>
  <si>
    <t>HOMBRES</t>
  </si>
  <si>
    <t>Total Franja</t>
  </si>
  <si>
    <t>Brecha de Género</t>
  </si>
  <si>
    <t>Índice Feminización</t>
  </si>
  <si>
    <t>Plantilla</t>
  </si>
  <si>
    <t xml:space="preserve">Edad </t>
  </si>
  <si>
    <t xml:space="preserve">Índice concentración </t>
  </si>
  <si>
    <t>% Total Mujeres</t>
  </si>
  <si>
    <t>% Total Hombres</t>
  </si>
  <si>
    <t>% Total</t>
  </si>
  <si>
    <t>Menos de 20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</si>
  <si>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</si>
  <si>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</si>
  <si>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</si>
  <si>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</si>
  <si>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</si>
  <si>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</si>
  <si>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</si>
  <si>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</si>
  <si>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 años</t>
  </si>
  <si>
    <t>61 años</t>
  </si>
  <si>
    <t>62 años</t>
  </si>
  <si>
    <t>63 años</t>
  </si>
  <si>
    <t xml:space="preserve">Antigüedad </t>
  </si>
  <si>
    <t>Menos de 1 año</t>
  </si>
  <si>
    <t>1 a 3 años</t>
  </si>
  <si>
    <t>3 a 5 años</t>
  </si>
  <si>
    <t>5 a 10 años</t>
  </si>
  <si>
    <t>10 a 15 años</t>
  </si>
  <si>
    <t>Más de 15 años</t>
  </si>
  <si>
    <t>Nivel de Estudios</t>
  </si>
  <si>
    <t>Certificado profesional</t>
  </si>
  <si>
    <t>Estudios universitarios</t>
  </si>
  <si>
    <t>Estudios primarios</t>
  </si>
  <si>
    <t>N/D</t>
  </si>
  <si>
    <t>Bachillerato/BUP</t>
  </si>
  <si>
    <t>F.P. I / C.F. Grado Medio</t>
  </si>
  <si>
    <t>F.P. II / C.F. Grado Superior</t>
  </si>
  <si>
    <t>Modalidad de Contrato</t>
  </si>
  <si>
    <t xml:space="preserve">Indefinido a jornada completa </t>
  </si>
  <si>
    <t>Indefinido a jornada parcial</t>
  </si>
  <si>
    <t>Fijo discontinuo</t>
  </si>
  <si>
    <t>Duración determinada jornada completa</t>
  </si>
  <si>
    <t>Duración determinada jornada parcial</t>
  </si>
  <si>
    <t>Porcentaje de Jornada</t>
  </si>
  <si>
    <t>Parcial               (0% - 38%)</t>
  </si>
  <si>
    <t>Parcial                     (39% - 75%)</t>
  </si>
  <si>
    <t>Parcial                    (76% - 99%)</t>
  </si>
  <si>
    <t>Completa (100%)</t>
  </si>
  <si>
    <t>Puestos Profesionales</t>
  </si>
  <si>
    <t>GEROC-AYTE. COMEDOR</t>
  </si>
  <si>
    <t>PERSONAL DE LIMPIEZA</t>
  </si>
  <si>
    <t>SUPERVISION</t>
  </si>
  <si>
    <t>ATS/DUE</t>
  </si>
  <si>
    <t>PERSONAL MEDICO</t>
  </si>
  <si>
    <t>FISIOTERAPEUTA</t>
  </si>
  <si>
    <t>TERAPEUTA</t>
  </si>
  <si>
    <t>GEROCULTOR/A</t>
  </si>
  <si>
    <t>OF. ADMÓN.</t>
  </si>
  <si>
    <t>PORT.RECE</t>
  </si>
  <si>
    <t>AUX.ADMON</t>
  </si>
  <si>
    <t>PSICOLOGA/O</t>
  </si>
  <si>
    <t>AUX,MANT.</t>
  </si>
  <si>
    <t>TRABAJO SOCIAL</t>
  </si>
  <si>
    <t>CONSERJE</t>
  </si>
  <si>
    <t>OF.MANTEN</t>
  </si>
  <si>
    <t>DIRECCION</t>
  </si>
  <si>
    <t>TASOC</t>
  </si>
  <si>
    <t>GOBERNANTA/E</t>
  </si>
  <si>
    <t>OF. 2</t>
  </si>
  <si>
    <t>SOCORRISTA</t>
  </si>
  <si>
    <t>ANIMADOR/A</t>
  </si>
  <si>
    <t>DIRECCION.GRAL</t>
  </si>
  <si>
    <t>DIRECCION.ORG</t>
  </si>
  <si>
    <t>J.PRIMERA</t>
  </si>
  <si>
    <t>JEFATURA ADMON</t>
  </si>
  <si>
    <t>LAVANDERA/O</t>
  </si>
  <si>
    <t>LIMP/LAVA</t>
  </si>
  <si>
    <t>ORDENANZA</t>
  </si>
  <si>
    <t>PERSONAL DE RECEPCION</t>
  </si>
  <si>
    <t>RESPONSABLE DE CONTABILIDAD</t>
  </si>
  <si>
    <t>SUBDIRECCION</t>
  </si>
  <si>
    <t>TITULADO/A MEDIO</t>
  </si>
  <si>
    <t>Puestos Directivos</t>
  </si>
  <si>
    <t>Áreas funcionales</t>
  </si>
  <si>
    <t>SOCIOSANITARIO</t>
  </si>
  <si>
    <t>SERVICIOS GENERALES</t>
  </si>
  <si>
    <t>GESTIÓN Y ADMINISTRACIÓN</t>
  </si>
  <si>
    <t>Turnos de Trabajo</t>
  </si>
  <si>
    <t>Mañana</t>
  </si>
  <si>
    <t>Tarde</t>
  </si>
  <si>
    <t>Noche</t>
  </si>
  <si>
    <t>Partido</t>
  </si>
  <si>
    <t xml:space="preserve">Hijos </t>
  </si>
  <si>
    <t>Ninguno</t>
  </si>
  <si>
    <t>1 hijo/a</t>
  </si>
  <si>
    <t>2 hijos/as</t>
  </si>
  <si>
    <t>3 o más hijos/as</t>
  </si>
  <si>
    <t>Bajas Temporales</t>
  </si>
  <si>
    <t>Enfermedad Común</t>
  </si>
  <si>
    <t>Accidente Laboral</t>
  </si>
  <si>
    <t>Riesgo embarazo</t>
  </si>
  <si>
    <t>COVID</t>
  </si>
  <si>
    <t>Bajas Definitivas</t>
  </si>
  <si>
    <t>Despido</t>
  </si>
  <si>
    <t>Fallecimiento</t>
  </si>
  <si>
    <t>Finalización Contrato</t>
  </si>
  <si>
    <t>Jubilación</t>
  </si>
  <si>
    <t>No superación de periodo prueba</t>
  </si>
  <si>
    <t>Baja Voluntaria</t>
  </si>
  <si>
    <t>Excedencias</t>
  </si>
  <si>
    <t>Excedencias Voluntarias</t>
  </si>
  <si>
    <t>Excedencias Cuidado Menores</t>
  </si>
  <si>
    <t>Excedencias Cuidado de Personas Mayores</t>
  </si>
  <si>
    <t>Permisos Retribuidos</t>
  </si>
  <si>
    <t>Lactancia</t>
  </si>
  <si>
    <t>Nacimiento</t>
  </si>
  <si>
    <t>Formación</t>
  </si>
  <si>
    <t>Grupo Profesional</t>
  </si>
  <si>
    <t>Grupo Profesional 1</t>
  </si>
  <si>
    <t>Grupo Profesional 2</t>
  </si>
  <si>
    <t>Grupo Profesional 3</t>
  </si>
  <si>
    <t>Grupo Profesional 4</t>
  </si>
  <si>
    <t>Grupo Profesional 5</t>
  </si>
  <si>
    <t>Grupo Profesional 6</t>
  </si>
  <si>
    <t>Grupo Profesional 7</t>
  </si>
  <si>
    <t>Grupo Profesional 8</t>
  </si>
  <si>
    <t>Grupo Profesional 9</t>
  </si>
  <si>
    <t>Grupo Profesional 10</t>
  </si>
  <si>
    <t>Grupo Profesional 11</t>
  </si>
  <si>
    <t>Retribuciones</t>
  </si>
  <si>
    <t>&lt; 12.000€</t>
  </si>
  <si>
    <t>12.001€ a 18.000€</t>
  </si>
  <si>
    <t>18.001€ a 24.000€</t>
  </si>
  <si>
    <t>24.001€ a 30.000€</t>
  </si>
  <si>
    <t>Más de 30.001€</t>
  </si>
  <si>
    <t>Más 60 años</t>
  </si>
  <si>
    <t>Porcentaje Jornada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</si>
</sst>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0"/>
      <color theme="1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0"/>
      <color theme="1"/>
      <name val="Nirmala UI"/>
    </font>
    <font>
      <b val="0"/>
      <i val="0"/>
      <strike val="0"/>
      <u val="none"/>
      <sz val="10"/>
      <color theme="1"/>
      <name val="Nirmala UI"/>
    </font>
    <font>
      <b val="0"/>
      <i val="0"/>
      <strike val="0"/>
      <u val="none"/>
      <sz val="11"/>
      <color theme="1"/>
      <name val="Nirmala U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  <fill>
      <patternFill patternType="solid">
        <fgColor rgb="FFD9D9D9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1">
      <alignment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vertical="bottom" textRotation="0" wrapText="true" shrinkToFit="false"/>
    </xf>
    <xf xfId="0" fontId="1" numFmtId="0" fillId="0" borderId="2" applyFont="1" applyNumberFormat="0" applyFill="0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4" numFmtId="0" fillId="0" borderId="1" applyFont="1" applyNumberFormat="0" applyFill="0" applyBorder="1" applyAlignment="0"/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2" fillId="0" borderId="1" applyFont="1" applyNumberFormat="1" applyFill="0" applyBorder="1" applyAlignment="1">
      <alignment horizontal="center" vertical="center" textRotation="0" wrapText="false" shrinkToFit="false"/>
    </xf>
    <xf xfId="0" fontId="3" numFmtId="2" fillId="0" borderId="1" applyFont="1" applyNumberFormat="1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vertical="bottom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drawings/drawing1.xml><?xml version="1.0" encoding="utf-8"?>
<xml/>
</file>

<file path=xl/drawings/drawing2.xml><?xml version="1.0" encoding="utf-8"?>
<xml/>
</file>

<file path=xl/drawings/drawing3.xml><?xml version="1.0" encoding="utf-8"?>
<xml/>
</file>

<file path=xl/drawings/drawing5.xml><?xml version="1.0" encoding="utf-8"?>
<xml/>
</file>

<file path=xl/drawings/drawing6.xml><?xml version="1.0" encoding="utf-8"?>
<xml/>
</file>

<file path=xl/drawings/drawing10.xml><?xml version="1.0" encoding="utf-8"?>
<xml/>
</file>

<file path=xl/drawings/drawing11.xml><?xml version="1.0" encoding="utf-8"?>
<xml/>
</file>

<file path=xl/drawings/drawing12.xml><?xml version="1.0" encoding="utf-8"?>
<xml/>
</file>

<file path=xl/drawings/drawing13.xml><?xml version="1.0" encoding="utf-8"?>
<xml/>
</file>

<file path=xl/drawings/drawing14.xml><?xml version="1.0" encoding="utf-8"?>
<xml/>
</file>

<file path=xl/drawings/drawing15.xml><?xml version="1.0" encoding="utf-8"?>
<xml/>
</file>

<file path=xl/drawings/drawing16.xml><?xml version="1.0" encoding="utf-8"?>
<xml/>
</file>

<file path=xl/drawings/drawing17.xml><?xml version="1.0" encoding="utf-8"?>
<xml/>
</file>

<file path=xl/drawings/drawing18.xml><?xml version="1.0" encoding="utf-8"?>
<xml/>
</file>

<file path=xl/drawings/drawing19.xml><?xml version="1.0" encoding="utf-8"?>
<xml/>
</file>

<file path=xl/drawings/drawing20.xml><?xml version="1.0" encoding="utf-8"?>
<xml/>
</file>

<file path=xl/drawings/drawing23.xml><?xml version="1.0" encoding="utf-8"?>
<xml/>
</file>

<file path=xl/drawings/drawing24.xml><?xml version="1.0" encoding="utf-8"?>
<xml/>
</file>

<file path=xl/drawings/drawing25.xml><?xml version="1.0" encoding="utf-8"?>
<xml/>
</file>

<file path=xl/drawings/drawing26.xml><?xml version="1.0" encoding="utf-8"?>
<xml/>
</file>

<file path=xl/drawings/drawing27.xml><?xml version="1.0" encoding="utf-8"?>
<xml/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8"/>
  <sheetViews>
    <sheetView tabSelected="0" workbookViewId="0" showGridLines="true" showRowColHeaders="1">
      <selection activeCell="I3" sqref="I3"/>
    </sheetView>
  </sheetViews>
  <sheetFormatPr defaultRowHeight="14.4" outlineLevelRow="0" outlineLevelCol="0"/>
  <sheetData>
    <row r="2" spans="1:9" customHeight="1" ht="42.75">
      <c r="B2" s="22" t="s">
        <v>0</v>
      </c>
      <c r="C2" s="22" t="s">
        <v>1</v>
      </c>
      <c r="D2" s="22" t="s">
        <v>2</v>
      </c>
      <c r="E2" s="22" t="s">
        <v>3</v>
      </c>
      <c r="F2" s="22" t="s">
        <v>2</v>
      </c>
      <c r="G2" s="22" t="s">
        <v>4</v>
      </c>
      <c r="H2" s="22" t="s">
        <v>5</v>
      </c>
      <c r="I2" s="22" t="s">
        <v>6</v>
      </c>
    </row>
    <row r="3" spans="1:9">
      <c r="B3" s="2" t="s">
        <v>7</v>
      </c>
      <c r="C3" s="2">
        <v>675</v>
      </c>
      <c r="D3" s="2">
        <f>C3/G3*100</f>
        <v>84.375</v>
      </c>
      <c r="E3" s="2">
        <v>125</v>
      </c>
      <c r="F3" s="2">
        <f>E3/G3*100</f>
        <v>15.625</v>
      </c>
      <c r="G3" s="2">
        <f>C3+E3</f>
        <v>800</v>
      </c>
      <c r="H3" s="2">
        <f>D3-F3</f>
        <v>68.75</v>
      </c>
      <c r="I3" s="2">
        <f>C3/E3</f>
        <v>5.4</v>
      </c>
    </row>
    <row r="4" spans="1:9">
      <c r="B4" s="2"/>
      <c r="C4" s="2"/>
      <c r="D4" s="2"/>
      <c r="E4" s="2"/>
      <c r="F4" s="2"/>
      <c r="G4" s="2"/>
      <c r="H4" s="2"/>
      <c r="I4" s="2"/>
    </row>
    <row r="7" spans="1:9">
      <c r="C7" s="33" t="s">
        <v>1</v>
      </c>
      <c r="D7" s="33" t="s">
        <v>3</v>
      </c>
    </row>
    <row r="8" spans="1:9">
      <c r="B8" s="2" t="s">
        <v>7</v>
      </c>
      <c r="C8" s="2">
        <v>675</v>
      </c>
      <c r="D8" s="2">
        <v>125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32"/>
  <sheetViews>
    <sheetView tabSelected="1" workbookViewId="0" showGridLines="true" showRowColHeaders="1" topLeftCell="A2">
      <selection activeCell="O8" sqref="O8"/>
    </sheetView>
  </sheetViews>
  <sheetFormatPr defaultRowHeight="14.4" outlineLevelRow="0" outlineLevelCol="0"/>
  <cols>
    <col min="1" max="1" width="4.5703125" customWidth="true" style="0"/>
    <col min="2" max="2" width="17" customWidth="true" style="0"/>
    <col min="3" max="3" width="16.7109375" customWidth="true" style="0"/>
    <col min="14" max="14" width="14.140625" customWidth="true" style="0"/>
  </cols>
  <sheetData>
    <row r="2" spans="1:14" customHeight="1" ht="42.75" s="1" customFormat="1">
      <c r="B2" s="22" t="s">
        <v>8</v>
      </c>
      <c r="C2" s="22" t="s">
        <v>1</v>
      </c>
      <c r="D2" s="22" t="s">
        <v>2</v>
      </c>
      <c r="E2" s="22" t="s">
        <v>9</v>
      </c>
      <c r="F2" s="22" t="s">
        <v>10</v>
      </c>
      <c r="G2" s="22" t="s">
        <v>3</v>
      </c>
      <c r="H2" s="22" t="s">
        <v>2</v>
      </c>
      <c r="I2" s="22" t="s">
        <v>9</v>
      </c>
      <c r="J2" s="22" t="s">
        <v>11</v>
      </c>
      <c r="K2" s="22" t="s">
        <v>12</v>
      </c>
      <c r="L2" s="22" t="s">
        <v>4</v>
      </c>
      <c r="M2" s="22" t="s">
        <v>5</v>
      </c>
      <c r="N2" s="22" t="s">
        <v>6</v>
      </c>
    </row>
    <row r="3" spans="1:14">
      <c r="B3" s="16" t="s">
        <v>13</v>
      </c>
      <c r="C3" s="17">
        <v>5</v>
      </c>
      <c r="D3" s="18">
        <f>C3/L3*100</f>
        <v>83.33333333333334</v>
      </c>
      <c r="E3" s="18">
        <f>C3/$C$16*100</f>
        <v>0.74074074074074</v>
      </c>
      <c r="F3" s="18">
        <f>C3/$L$16*100</f>
        <v>0.625</v>
      </c>
      <c r="G3" s="17">
        <v>1</v>
      </c>
      <c r="H3" s="18">
        <f>G3/L3*100</f>
        <v>16.66666666666666</v>
      </c>
      <c r="I3" s="18">
        <f>G3/$G$16*100</f>
        <v>0.8</v>
      </c>
      <c r="J3" s="18">
        <f>G3/$L$16*100</f>
        <v>0.125</v>
      </c>
      <c r="K3" s="18">
        <f>F3+J3</f>
        <v>0.75</v>
      </c>
      <c r="L3" s="19">
        <f>C3+G3</f>
        <v>6</v>
      </c>
      <c r="M3" s="18">
        <f>H3-D3</f>
        <v>-66.66666666666669</v>
      </c>
      <c r="N3" s="19">
        <f>C3/G3</f>
        <v>5</v>
      </c>
    </row>
    <row r="4" spans="1:14">
      <c r="B4" s="16" t="s">
        <v>14</v>
      </c>
      <c r="C4" s="17">
        <v>44</v>
      </c>
      <c r="D4" s="18">
        <f>C4/L4*100</f>
        <v>78.57142857142857</v>
      </c>
      <c r="E4" s="18">
        <f>C4/$C$16*100</f>
        <v>6.51851851851852</v>
      </c>
      <c r="F4" s="18">
        <f>C4/$L$16*100</f>
        <v>5.5</v>
      </c>
      <c r="G4" s="17">
        <v>12</v>
      </c>
      <c r="H4" s="18">
        <f>G4/L4*100</f>
        <v>21.42857142857143</v>
      </c>
      <c r="I4" s="18">
        <f>G4/$G$16*100</f>
        <v>9.6</v>
      </c>
      <c r="J4" s="18">
        <f>G4/$L$16*100</f>
        <v>1.5</v>
      </c>
      <c r="K4" s="18">
        <f>F4+J4</f>
        <v>7</v>
      </c>
      <c r="L4" s="19">
        <f>C4+G4</f>
        <v>56</v>
      </c>
      <c r="M4" s="18">
        <f>H4-D4</f>
        <v>-57.14285714285714</v>
      </c>
      <c r="N4" s="19">
        <f>C4/G4</f>
        <v>3.66666666666667</v>
      </c>
    </row>
    <row r="5" spans="1:14">
      <c r="B5" s="16" t="s">
        <v>15</v>
      </c>
      <c r="C5" s="17">
        <v>65</v>
      </c>
      <c r="D5" s="18">
        <f>C5/L5*100</f>
        <v>82.27848101265823</v>
      </c>
      <c r="E5" s="18">
        <f>C5/$C$16*100</f>
        <v>9.62962962962963</v>
      </c>
      <c r="F5" s="18">
        <f>C5/$L$16*100</f>
        <v>8.125</v>
      </c>
      <c r="G5" s="17">
        <v>14</v>
      </c>
      <c r="H5" s="18">
        <f>G5/L5*100</f>
        <v>17.72151898734177</v>
      </c>
      <c r="I5" s="18">
        <f>G5/$G$16*100</f>
        <v>11.2</v>
      </c>
      <c r="J5" s="18">
        <f>G5/$L$16*100</f>
        <v>1.75</v>
      </c>
      <c r="K5" s="18">
        <f>F5+J5</f>
        <v>9.875</v>
      </c>
      <c r="L5" s="19">
        <f>C5+G5</f>
        <v>79</v>
      </c>
      <c r="M5" s="18">
        <f>H5-D5</f>
        <v>-64.55696202531647</v>
      </c>
      <c r="N5" s="19">
        <f>C5/G5</f>
        <v>4.64285714285714</v>
      </c>
    </row>
    <row r="6" spans="1:14">
      <c r="B6" s="16" t="s">
        <v>16</v>
      </c>
      <c r="C6" s="17">
        <v>68</v>
      </c>
      <c r="D6" s="18">
        <f>C6/L6*100</f>
        <v>77.27272727272727</v>
      </c>
      <c r="E6" s="18">
        <f>C6/$C$16*100</f>
        <v>10.074074074074074</v>
      </c>
      <c r="F6" s="18">
        <f>C6/$L$16*100</f>
        <v>8.5</v>
      </c>
      <c r="G6" s="17">
        <v>20</v>
      </c>
      <c r="H6" s="18">
        <f>G6/L6*100</f>
        <v>22.72727272727273</v>
      </c>
      <c r="I6" s="18">
        <f>G6/$G$16*100</f>
        <v>16</v>
      </c>
      <c r="J6" s="18">
        <f>G6/$L$16*100</f>
        <v>2.5</v>
      </c>
      <c r="K6" s="18">
        <f>F6+J6</f>
        <v>11</v>
      </c>
      <c r="L6" s="19">
        <f>C6+G6</f>
        <v>88</v>
      </c>
      <c r="M6" s="18">
        <f>H6-D6</f>
        <v>-54.54545454545454</v>
      </c>
      <c r="N6" s="19">
        <f>C6/G6</f>
        <v>3.4</v>
      </c>
    </row>
    <row r="7" spans="1:14">
      <c r="B7" s="16" t="s">
        <v>17</v>
      </c>
      <c r="C7" s="17">
        <v>76</v>
      </c>
      <c r="D7" s="18">
        <f>C7/L7*100</f>
        <v>90.47619047619048</v>
      </c>
      <c r="E7" s="18">
        <f>C7/$C$16*100</f>
        <v>11.25925925925926</v>
      </c>
      <c r="F7" s="18">
        <f>C7/$L$16*100</f>
        <v>9.5</v>
      </c>
      <c r="G7" s="17">
        <v>8</v>
      </c>
      <c r="H7" s="18">
        <f>G7/L7*100</f>
        <v>9.52380952380952</v>
      </c>
      <c r="I7" s="18">
        <f>G7/$G$16*100</f>
        <v>6.4</v>
      </c>
      <c r="J7" s="18">
        <f>G7/$L$16*100</f>
        <v>1</v>
      </c>
      <c r="K7" s="18">
        <f>F7+J7</f>
        <v>10.5</v>
      </c>
      <c r="L7" s="19">
        <f>C7+G7</f>
        <v>84</v>
      </c>
      <c r="M7" s="18">
        <f>H7-D7</f>
        <v>-80.95238095238096</v>
      </c>
      <c r="N7" s="19">
        <f>C7/G7</f>
        <v>9.5</v>
      </c>
    </row>
    <row r="8" spans="1:14">
      <c r="B8" s="16" t="s">
        <v>18</v>
      </c>
      <c r="C8" s="17">
        <v>72</v>
      </c>
      <c r="D8" s="18">
        <f>C8/L8*100</f>
        <v>85.71428571428571</v>
      </c>
      <c r="E8" s="18">
        <f>C8/$C$16*100</f>
        <v>10.66666666666667</v>
      </c>
      <c r="F8" s="18">
        <f>C8/$L$16*100</f>
        <v>9</v>
      </c>
      <c r="G8" s="17">
        <v>12</v>
      </c>
      <c r="H8" s="18">
        <f>G8/L8*100</f>
        <v>14.28571428571428</v>
      </c>
      <c r="I8" s="18">
        <f>G8/$G$16*100</f>
        <v>9.6</v>
      </c>
      <c r="J8" s="18">
        <f>G8/$L$16*100</f>
        <v>1.5</v>
      </c>
      <c r="K8" s="18">
        <f>F8+J8</f>
        <v>10.5</v>
      </c>
      <c r="L8" s="19">
        <f>C8+G8</f>
        <v>84</v>
      </c>
      <c r="M8" s="18">
        <f>H8-D8</f>
        <v>-71.42857142857142</v>
      </c>
      <c r="N8" s="19">
        <f>C8/G8</f>
        <v>6</v>
      </c>
    </row>
    <row r="9" spans="1:14">
      <c r="B9" s="16" t="s">
        <v>19</v>
      </c>
      <c r="C9" s="17">
        <v>91</v>
      </c>
      <c r="D9" s="18">
        <f>C9/L9*100</f>
        <v>84.25925925925925</v>
      </c>
      <c r="E9" s="18">
        <f>C9/$C$16*100</f>
        <v>13.48148148148148</v>
      </c>
      <c r="F9" s="18">
        <f>C9/$L$16*100</f>
        <v>11.375</v>
      </c>
      <c r="G9" s="17">
        <v>17</v>
      </c>
      <c r="H9" s="18">
        <f>G9/L9*100</f>
        <v>15.74074074074074</v>
      </c>
      <c r="I9" s="18">
        <f>G9/$G$16*100</f>
        <v>13.6</v>
      </c>
      <c r="J9" s="18">
        <f>G9/$L$16*100</f>
        <v>2.125</v>
      </c>
      <c r="K9" s="18">
        <f>F9+J9</f>
        <v>13.5</v>
      </c>
      <c r="L9" s="19">
        <f>C9+G9</f>
        <v>108</v>
      </c>
      <c r="M9" s="18">
        <f>H9-D9</f>
        <v>-68.5185185185185</v>
      </c>
      <c r="N9" s="19">
        <f>C9/G9</f>
        <v>5.35294117647059</v>
      </c>
    </row>
    <row r="10" spans="1:14">
      <c r="B10" s="16" t="s">
        <v>20</v>
      </c>
      <c r="C10" s="17">
        <v>98</v>
      </c>
      <c r="D10" s="18">
        <f>C10/L10*100</f>
        <v>89.90825688073394</v>
      </c>
      <c r="E10" s="18">
        <f>C10/$C$16*100</f>
        <v>14.51851851851852</v>
      </c>
      <c r="F10" s="18">
        <f>C10/$L$16*100</f>
        <v>12.25</v>
      </c>
      <c r="G10" s="17">
        <v>11</v>
      </c>
      <c r="H10" s="18">
        <f>G10/L10*100</f>
        <v>10.091743119266056</v>
      </c>
      <c r="I10" s="18">
        <f>G10/$G$16*100</f>
        <v>8.8</v>
      </c>
      <c r="J10" s="18">
        <f>G10/$L$16*100</f>
        <v>1.375</v>
      </c>
      <c r="K10" s="18">
        <f>F10+J10</f>
        <v>13.625</v>
      </c>
      <c r="L10" s="19">
        <f>C10+G10</f>
        <v>109</v>
      </c>
      <c r="M10" s="18">
        <f>H10-D10</f>
        <v>-79.81651376146789</v>
      </c>
      <c r="N10" s="19">
        <f>C10/G10</f>
        <v>8.90909090909091</v>
      </c>
    </row>
    <row r="11" spans="1:14">
      <c r="B11" s="16" t="s">
        <v>21</v>
      </c>
      <c r="C11" s="17">
        <v>88</v>
      </c>
      <c r="D11" s="18">
        <f>C11/L11*100</f>
        <v>87.12871287128714</v>
      </c>
      <c r="E11" s="18">
        <f>C11/$C$16*100</f>
        <v>13.037037037037036</v>
      </c>
      <c r="F11" s="18">
        <f>C11/$L$16*100</f>
        <v>11</v>
      </c>
      <c r="G11" s="17">
        <v>13</v>
      </c>
      <c r="H11" s="18">
        <f>G11/L11*100</f>
        <v>12.87128712871287</v>
      </c>
      <c r="I11" s="18">
        <f>G11/$G$16*100</f>
        <v>10.4</v>
      </c>
      <c r="J11" s="18">
        <f>G11/$L$16*100</f>
        <v>1.625</v>
      </c>
      <c r="K11" s="18">
        <f>F11+J11</f>
        <v>12.625</v>
      </c>
      <c r="L11" s="19">
        <f>C11+G11</f>
        <v>101</v>
      </c>
      <c r="M11" s="18">
        <f>H11-D11</f>
        <v>-74.25742574257427</v>
      </c>
      <c r="N11" s="19">
        <f>C11/G11</f>
        <v>6.76923076923077</v>
      </c>
    </row>
    <row r="12" spans="1:14">
      <c r="B12" s="16" t="s">
        <v>22</v>
      </c>
      <c r="C12" s="17">
        <v>11</v>
      </c>
      <c r="D12" s="18">
        <f>C12/L12*100</f>
        <v>91.66666666666666</v>
      </c>
      <c r="E12" s="18">
        <f>C12/$C$16*100</f>
        <v>1.62962962962963</v>
      </c>
      <c r="F12" s="18">
        <f>C12/$L$16*100</f>
        <v>1.375</v>
      </c>
      <c r="G12" s="17">
        <v>1</v>
      </c>
      <c r="H12" s="18">
        <f>G12/L12*100</f>
        <v>8.33333333333333</v>
      </c>
      <c r="I12" s="18">
        <f>G12/$G$16*100</f>
        <v>0.8</v>
      </c>
      <c r="J12" s="18">
        <f>G12/$L$16*100</f>
        <v>0.125</v>
      </c>
      <c r="K12" s="18">
        <f>F12+J12</f>
        <v>1.5</v>
      </c>
      <c r="L12" s="19">
        <f>C12+G12</f>
        <v>12</v>
      </c>
      <c r="M12" s="18">
        <f>H12-D12</f>
        <v>-83.33333333333333</v>
      </c>
      <c r="N12" s="19">
        <f>C12/G12</f>
        <v>11</v>
      </c>
    </row>
    <row r="13" spans="1:14">
      <c r="B13" s="16" t="s">
        <v>23</v>
      </c>
      <c r="C13" s="17">
        <v>15</v>
      </c>
      <c r="D13" s="18">
        <f>C13/L13*100</f>
        <v>75</v>
      </c>
      <c r="E13" s="18">
        <f>C13/$C$16*100</f>
        <v>2.22222222222222</v>
      </c>
      <c r="F13" s="18">
        <f>C13/$L$16*100</f>
        <v>1.875</v>
      </c>
      <c r="G13" s="17">
        <v>5</v>
      </c>
      <c r="H13" s="18">
        <f>G13/L13*100</f>
        <v>25</v>
      </c>
      <c r="I13" s="18">
        <f>G13/$G$16*100</f>
        <v>4</v>
      </c>
      <c r="J13" s="18">
        <f>G13/$L$16*100</f>
        <v>0.625</v>
      </c>
      <c r="K13" s="18">
        <f>F13+J13</f>
        <v>2.5</v>
      </c>
      <c r="L13" s="19">
        <f>C13+G13</f>
        <v>20</v>
      </c>
      <c r="M13" s="18">
        <f>H13-D13</f>
        <v>-50</v>
      </c>
      <c r="N13" s="19">
        <f>C13/G13</f>
        <v>3</v>
      </c>
    </row>
    <row r="14" spans="1:14">
      <c r="B14" s="16" t="s">
        <v>24</v>
      </c>
      <c r="C14" s="17">
        <v>9</v>
      </c>
      <c r="D14" s="18">
        <f>C14/L14*100</f>
        <v>100</v>
      </c>
      <c r="E14" s="18">
        <f>C14/$C$16*100</f>
        <v>1.33333333333333</v>
      </c>
      <c r="F14" s="18">
        <f>C14/$L$16*100</f>
        <v>1.125</v>
      </c>
      <c r="G14" s="17">
        <v>0</v>
      </c>
      <c r="H14" s="18">
        <f>G14/L14*100</f>
        <v>0</v>
      </c>
      <c r="I14" s="18">
        <f>G14/$G$16*100</f>
        <v>0</v>
      </c>
      <c r="J14" s="18">
        <f>G14/$L$16*100</f>
        <v>0</v>
      </c>
      <c r="K14" s="18">
        <f>F14+J14</f>
        <v>1.125</v>
      </c>
      <c r="L14" s="19">
        <f>C14+G14</f>
        <v>9</v>
      </c>
      <c r="M14" s="18">
        <f>H14-D14</f>
        <v>-100</v>
      </c>
      <c r="N14" s="19" t="e">
        <f>C14/G14</f>
        <v>#DIV/0!</v>
      </c>
    </row>
    <row r="15" spans="1:14">
      <c r="B15" s="16" t="s">
        <v>25</v>
      </c>
      <c r="C15" s="17">
        <v>33</v>
      </c>
      <c r="D15" s="18">
        <f>C15/L15*100</f>
        <v>75</v>
      </c>
      <c r="E15" s="18">
        <f>C15/$C$16*100</f>
        <v>4.88888888888889</v>
      </c>
      <c r="F15" s="18">
        <f>C15/$L$16*100</f>
        <v>4.125</v>
      </c>
      <c r="G15" s="17">
        <v>11</v>
      </c>
      <c r="H15" s="18">
        <f>G15/L15*100</f>
        <v>25</v>
      </c>
      <c r="I15" s="18">
        <f>G15/$G$16*100</f>
        <v>8.8</v>
      </c>
      <c r="J15" s="18">
        <f>G15/$L$16*100</f>
        <v>1.375</v>
      </c>
      <c r="K15" s="18">
        <f>F15+J15</f>
        <v>5.5</v>
      </c>
      <c r="L15" s="19">
        <f>C15+G15</f>
        <v>44</v>
      </c>
      <c r="M15" s="18">
        <f>H15-D15</f>
        <v>-50</v>
      </c>
      <c r="N15" s="19">
        <f>C15/G15</f>
        <v>3</v>
      </c>
    </row>
    <row r="16" spans="1:14">
      <c r="C16" s="20">
        <f>SUM(C3:C15)</f>
        <v>675</v>
      </c>
      <c r="D16" s="21"/>
      <c r="E16" s="21">
        <f>SUM(E3:E15)</f>
        <v>100</v>
      </c>
      <c r="F16" s="18">
        <f>SUM(F3:F15)</f>
        <v>84.375</v>
      </c>
      <c r="G16" s="20">
        <f>SUM(G3:G15)</f>
        <v>125</v>
      </c>
      <c r="H16" s="21"/>
      <c r="I16" s="21">
        <f>SUM(I3:I15)</f>
        <v>100</v>
      </c>
      <c r="J16" s="18">
        <f>SUM(J3:J15)</f>
        <v>15.625</v>
      </c>
      <c r="K16" s="21">
        <f>SUM(K3:K15)</f>
        <v>100</v>
      </c>
      <c r="L16" s="20">
        <f>SUM(L3:L15)</f>
        <v>800</v>
      </c>
      <c r="M16" s="21"/>
      <c r="N16" s="19">
        <f>C16/G16</f>
        <v>5.4</v>
      </c>
    </row>
    <row r="19" spans="1:14">
      <c r="D19" s="23" t="s">
        <v>1</v>
      </c>
      <c r="E19" s="23" t="s">
        <v>3</v>
      </c>
    </row>
    <row r="20" spans="1:14">
      <c r="C20" s="16" t="s">
        <v>13</v>
      </c>
      <c r="D20" s="21">
        <v>5</v>
      </c>
      <c r="E20" s="21">
        <v>1</v>
      </c>
    </row>
    <row r="21" spans="1:14">
      <c r="C21" s="16" t="s">
        <v>14</v>
      </c>
      <c r="D21" s="21">
        <v>44</v>
      </c>
      <c r="E21" s="21">
        <v>12</v>
      </c>
    </row>
    <row r="22" spans="1:14">
      <c r="C22" s="16" t="s">
        <v>15</v>
      </c>
      <c r="D22" s="21">
        <v>65</v>
      </c>
      <c r="E22" s="21">
        <v>14</v>
      </c>
    </row>
    <row r="23" spans="1:14">
      <c r="C23" s="16" t="s">
        <v>16</v>
      </c>
      <c r="D23" s="21">
        <v>68</v>
      </c>
      <c r="E23" s="21">
        <v>20</v>
      </c>
    </row>
    <row r="24" spans="1:14">
      <c r="C24" s="16" t="s">
        <v>17</v>
      </c>
      <c r="D24" s="21">
        <v>76</v>
      </c>
      <c r="E24" s="21">
        <v>8</v>
      </c>
    </row>
    <row r="25" spans="1:14">
      <c r="C25" s="16" t="s">
        <v>18</v>
      </c>
      <c r="D25" s="21">
        <v>72</v>
      </c>
      <c r="E25" s="21">
        <v>12</v>
      </c>
    </row>
    <row r="26" spans="1:14">
      <c r="C26" s="16" t="s">
        <v>19</v>
      </c>
      <c r="D26" s="21">
        <v>91</v>
      </c>
      <c r="E26" s="21">
        <v>17</v>
      </c>
    </row>
    <row r="27" spans="1:14">
      <c r="C27" s="16" t="s">
        <v>20</v>
      </c>
      <c r="D27" s="21">
        <v>98</v>
      </c>
      <c r="E27" s="21">
        <v>11</v>
      </c>
    </row>
    <row r="28" spans="1:14">
      <c r="C28" s="16" t="s">
        <v>21</v>
      </c>
      <c r="D28" s="21">
        <v>88</v>
      </c>
      <c r="E28" s="21">
        <v>13</v>
      </c>
    </row>
    <row r="29" spans="1:14">
      <c r="C29" s="16" t="s">
        <v>22</v>
      </c>
      <c r="D29" s="21">
        <v>11</v>
      </c>
      <c r="E29" s="21">
        <v>1</v>
      </c>
    </row>
    <row r="30" spans="1:14">
      <c r="C30" s="16" t="s">
        <v>23</v>
      </c>
      <c r="D30" s="2">
        <v>15</v>
      </c>
      <c r="E30" s="2">
        <v>5</v>
      </c>
    </row>
    <row r="31" spans="1:14">
      <c r="C31" s="16" t="s">
        <v>24</v>
      </c>
      <c r="D31" s="2">
        <v>9</v>
      </c>
      <c r="E31" s="2">
        <v>0</v>
      </c>
    </row>
    <row r="32" spans="1:14">
      <c r="C32" s="16" t="s">
        <v>25</v>
      </c>
      <c r="D32" s="2">
        <v>33</v>
      </c>
      <c r="E32" s="2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9"/>
  <sheetViews>
    <sheetView tabSelected="0" workbookViewId="0" showGridLines="true" showRowColHeaders="1" topLeftCell="B1">
      <selection activeCell="O13" sqref="O13"/>
    </sheetView>
  </sheetViews>
  <sheetFormatPr defaultRowHeight="14.4" outlineLevelRow="0" outlineLevelCol="0"/>
  <cols>
    <col min="1" max="1" width="5.140625" customWidth="true" style="0"/>
    <col min="2" max="2" width="15.140625" customWidth="true" style="0"/>
    <col min="3" max="3" width="15.140625" customWidth="true" style="0"/>
  </cols>
  <sheetData>
    <row r="2" spans="1:14" customHeight="1" ht="42.75">
      <c r="B2" s="24" t="s">
        <v>26</v>
      </c>
      <c r="C2" s="24" t="s">
        <v>1</v>
      </c>
      <c r="D2" s="24" t="s">
        <v>2</v>
      </c>
      <c r="E2" s="24" t="s">
        <v>9</v>
      </c>
      <c r="F2" s="24" t="s">
        <v>10</v>
      </c>
      <c r="G2" s="24" t="s">
        <v>3</v>
      </c>
      <c r="H2" s="24" t="s">
        <v>2</v>
      </c>
      <c r="I2" s="24" t="s">
        <v>9</v>
      </c>
      <c r="J2" s="24" t="s">
        <v>11</v>
      </c>
      <c r="K2" s="24" t="s">
        <v>12</v>
      </c>
      <c r="L2" s="24" t="s">
        <v>4</v>
      </c>
      <c r="M2" s="24" t="s">
        <v>5</v>
      </c>
      <c r="N2" s="24" t="s">
        <v>6</v>
      </c>
    </row>
    <row r="3" spans="1:14">
      <c r="B3" s="25" t="s">
        <v>27</v>
      </c>
      <c r="C3" s="28">
        <v>254</v>
      </c>
      <c r="D3" s="25">
        <f>C3/L3*100</f>
        <v>86.10169491525423</v>
      </c>
      <c r="E3" s="25">
        <f>C3/$C$9*100</f>
        <v>37.62962962962963</v>
      </c>
      <c r="F3" s="25">
        <f>C3/$L$9*100</f>
        <v>31.75</v>
      </c>
      <c r="G3" s="28">
        <v>41</v>
      </c>
      <c r="H3" s="25">
        <f>G3/L3*100</f>
        <v>13.89830508474576</v>
      </c>
      <c r="I3" s="25">
        <f>G3/$G$9*100</f>
        <v>32.8</v>
      </c>
      <c r="J3" s="25">
        <f>G3/$L$9*100</f>
        <v>5.125</v>
      </c>
      <c r="K3" s="25">
        <f>F3+J3</f>
        <v>36.875</v>
      </c>
      <c r="L3" s="25">
        <f>C3+G3</f>
        <v>295</v>
      </c>
      <c r="M3" s="25">
        <f>H3-D3</f>
        <v>-72.20338983050847</v>
      </c>
      <c r="N3" s="25">
        <f>C3/G3</f>
        <v>6.19512195121951</v>
      </c>
    </row>
    <row r="4" spans="1:14">
      <c r="B4" s="25" t="s">
        <v>28</v>
      </c>
      <c r="C4" s="28">
        <v>262</v>
      </c>
      <c r="D4" s="25">
        <f>C4/L4*100</f>
        <v>83.17460317460318</v>
      </c>
      <c r="E4" s="25">
        <f>C4/$C$9*100</f>
        <v>38.81481481481481</v>
      </c>
      <c r="F4" s="25">
        <f>C4/$L$9*100</f>
        <v>32.75</v>
      </c>
      <c r="G4" s="28">
        <v>53</v>
      </c>
      <c r="H4" s="25">
        <f>G4/L4*100</f>
        <v>16.82539682539683</v>
      </c>
      <c r="I4" s="25">
        <f>G4/$G$9*100</f>
        <v>42.4</v>
      </c>
      <c r="J4" s="25">
        <f>G4/$L$9*100</f>
        <v>6.625</v>
      </c>
      <c r="K4" s="25">
        <f>F4+J4</f>
        <v>39.375</v>
      </c>
      <c r="L4" s="25">
        <f>C4+G4</f>
        <v>315</v>
      </c>
      <c r="M4" s="25">
        <f>H4-D4</f>
        <v>-66.34920634920636</v>
      </c>
      <c r="N4" s="25">
        <f>C4/G4</f>
        <v>4.94339622641509</v>
      </c>
    </row>
    <row r="5" spans="1:14">
      <c r="B5" s="25" t="s">
        <v>29</v>
      </c>
      <c r="C5" s="28">
        <v>38</v>
      </c>
      <c r="D5" s="25">
        <f>C5/L5*100</f>
        <v>88.37209302325581</v>
      </c>
      <c r="E5" s="25">
        <f>C5/$C$9*100</f>
        <v>5.62962962962963</v>
      </c>
      <c r="F5" s="25">
        <f>C5/$L$9*100</f>
        <v>4.75</v>
      </c>
      <c r="G5" s="28">
        <v>5</v>
      </c>
      <c r="H5" s="25">
        <f>G5/L5*100</f>
        <v>11.62790697674419</v>
      </c>
      <c r="I5" s="25">
        <f>G5/$G$9*100</f>
        <v>4</v>
      </c>
      <c r="J5" s="25">
        <f>G5/$L$9*100</f>
        <v>0.625</v>
      </c>
      <c r="K5" s="25">
        <f>F5+J5</f>
        <v>5.375</v>
      </c>
      <c r="L5" s="25">
        <f>C5+G5</f>
        <v>43</v>
      </c>
      <c r="M5" s="25">
        <f>H5-D5</f>
        <v>-76.74418604651163</v>
      </c>
      <c r="N5" s="25">
        <f>C5/G5</f>
        <v>7.6</v>
      </c>
    </row>
    <row r="6" spans="1:14">
      <c r="B6" s="25" t="s">
        <v>30</v>
      </c>
      <c r="C6" s="28">
        <v>31</v>
      </c>
      <c r="D6" s="25">
        <f>C6/L6*100</f>
        <v>70.45454545454545</v>
      </c>
      <c r="E6" s="25">
        <f>C6/$C$9*100</f>
        <v>4.59259259259259</v>
      </c>
      <c r="F6" s="25">
        <f>C6/$L$9*100</f>
        <v>3.875</v>
      </c>
      <c r="G6" s="28">
        <v>13</v>
      </c>
      <c r="H6" s="25">
        <f>G6/L6*100</f>
        <v>29.54545454545455</v>
      </c>
      <c r="I6" s="25">
        <f>G6/$G$9*100</f>
        <v>10.4</v>
      </c>
      <c r="J6" s="25">
        <f>G6/$L$9*100</f>
        <v>1.625</v>
      </c>
      <c r="K6" s="25">
        <f>F6+J6</f>
        <v>5.5</v>
      </c>
      <c r="L6" s="25">
        <f>C6+G6</f>
        <v>44</v>
      </c>
      <c r="M6" s="25">
        <f>H6-D6</f>
        <v>-40.90909090909091</v>
      </c>
      <c r="N6" s="25">
        <f>C6/G6</f>
        <v>2.38461538461538</v>
      </c>
    </row>
    <row r="7" spans="1:14">
      <c r="B7" s="25" t="s">
        <v>31</v>
      </c>
      <c r="C7" s="28">
        <v>31</v>
      </c>
      <c r="D7" s="25">
        <f>C7/L7*100</f>
        <v>93.93939393939394</v>
      </c>
      <c r="E7" s="25">
        <f>C7/$C$9*100</f>
        <v>4.59259259259259</v>
      </c>
      <c r="F7" s="25">
        <f>C7/$L$9*100</f>
        <v>3.875</v>
      </c>
      <c r="G7" s="28">
        <v>2</v>
      </c>
      <c r="H7" s="25">
        <f>G7/L7*100</f>
        <v>6.060606060606061</v>
      </c>
      <c r="I7" s="25">
        <f>G7/$G$9*100</f>
        <v>1.6</v>
      </c>
      <c r="J7" s="25">
        <f>G7/$L$9*100</f>
        <v>0.25</v>
      </c>
      <c r="K7" s="25">
        <f>F7+J7</f>
        <v>4.125</v>
      </c>
      <c r="L7" s="25">
        <f>C7+G7</f>
        <v>33</v>
      </c>
      <c r="M7" s="25">
        <f>H7-D7</f>
        <v>-87.87878787878788</v>
      </c>
      <c r="N7" s="25">
        <f>C7/G7</f>
        <v>15.5</v>
      </c>
    </row>
    <row r="8" spans="1:14">
      <c r="B8" s="25" t="s">
        <v>32</v>
      </c>
      <c r="C8" s="28">
        <v>59</v>
      </c>
      <c r="D8" s="25">
        <f>C8/L8*100</f>
        <v>84.28571428571429</v>
      </c>
      <c r="E8" s="25">
        <f>C8/$C$9*100</f>
        <v>8.74074074074074</v>
      </c>
      <c r="F8" s="25">
        <f>C8/$L$9*100</f>
        <v>7.375</v>
      </c>
      <c r="G8" s="28">
        <v>11</v>
      </c>
      <c r="H8" s="25">
        <f>G8/L8*100</f>
        <v>15.71428571428571</v>
      </c>
      <c r="I8" s="25">
        <f>G8/$G$9*100</f>
        <v>8.8</v>
      </c>
      <c r="J8" s="25">
        <f>G8/$L$9*100</f>
        <v>1.375</v>
      </c>
      <c r="K8" s="25">
        <f>F8+J8</f>
        <v>8.75</v>
      </c>
      <c r="L8" s="25">
        <f>C8+G8</f>
        <v>70</v>
      </c>
      <c r="M8" s="25">
        <f>H8-D8</f>
        <v>-68.57142857142858</v>
      </c>
      <c r="N8" s="25">
        <f>C8/G8</f>
        <v>5.36363636363636</v>
      </c>
    </row>
    <row r="9" spans="1:14">
      <c r="B9" s="26"/>
      <c r="C9" s="25">
        <v>675</v>
      </c>
      <c r="D9" s="25"/>
      <c r="E9" s="25">
        <f>SUM(E3:E8)</f>
        <v>100</v>
      </c>
      <c r="F9" s="25">
        <f>SUM(F3:F8)</f>
        <v>84.375</v>
      </c>
      <c r="G9" s="25">
        <v>125</v>
      </c>
      <c r="H9" s="25"/>
      <c r="I9" s="25">
        <f>SUM(I3:I8)</f>
        <v>100</v>
      </c>
      <c r="J9" s="25">
        <f>SUM(J3:J8)</f>
        <v>15.625</v>
      </c>
      <c r="K9" s="25">
        <f>SUM(K3:K8)</f>
        <v>100</v>
      </c>
      <c r="L9" s="25">
        <f>SUM(L3:L8)</f>
        <v>800</v>
      </c>
      <c r="M9" s="25"/>
      <c r="N9" s="25"/>
    </row>
    <row r="13" spans="1:14">
      <c r="D13" s="27" t="s">
        <v>1</v>
      </c>
      <c r="E13" s="27" t="s">
        <v>3</v>
      </c>
    </row>
    <row r="14" spans="1:14">
      <c r="C14" s="15" t="s">
        <v>27</v>
      </c>
      <c r="D14" s="21">
        <v>254</v>
      </c>
      <c r="E14" s="21">
        <v>41</v>
      </c>
    </row>
    <row r="15" spans="1:14">
      <c r="C15" s="15" t="s">
        <v>28</v>
      </c>
      <c r="D15" s="21">
        <v>262</v>
      </c>
      <c r="E15" s="21">
        <v>53</v>
      </c>
    </row>
    <row r="16" spans="1:14">
      <c r="C16" s="15" t="s">
        <v>29</v>
      </c>
      <c r="D16" s="21">
        <v>38</v>
      </c>
      <c r="E16" s="21">
        <v>5</v>
      </c>
    </row>
    <row r="17" spans="1:14">
      <c r="C17" s="15" t="s">
        <v>30</v>
      </c>
      <c r="D17" s="21">
        <v>31</v>
      </c>
      <c r="E17" s="21">
        <v>13</v>
      </c>
    </row>
    <row r="18" spans="1:14">
      <c r="C18" s="15" t="s">
        <v>31</v>
      </c>
      <c r="D18" s="21">
        <v>31</v>
      </c>
      <c r="E18" s="21">
        <v>2</v>
      </c>
    </row>
    <row r="19" spans="1:14">
      <c r="C19" s="15" t="s">
        <v>32</v>
      </c>
      <c r="D19" s="21">
        <v>59</v>
      </c>
      <c r="E19" s="21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0"/>
  <sheetViews>
    <sheetView tabSelected="0" workbookViewId="0" showGridLines="true" showRowColHeaders="1">
      <selection activeCell="J4" sqref="J4"/>
    </sheetView>
  </sheetViews>
  <sheetFormatPr defaultRowHeight="14.4" outlineLevelRow="0" outlineLevelCol="0"/>
  <cols>
    <col min="1" max="1" width="5.42578125" customWidth="true" style="0"/>
    <col min="2" max="2" width="21.42578125" customWidth="true" style="0"/>
    <col min="3" max="3" width="18.7109375" customWidth="true" style="0"/>
  </cols>
  <sheetData>
    <row r="2" spans="1:14" customHeight="1" ht="42.75">
      <c r="B2" s="24" t="s">
        <v>33</v>
      </c>
      <c r="C2" s="24" t="s">
        <v>1</v>
      </c>
      <c r="D2" s="24" t="s">
        <v>2</v>
      </c>
      <c r="E2" s="24" t="s">
        <v>9</v>
      </c>
      <c r="F2" s="24" t="s">
        <v>10</v>
      </c>
      <c r="G2" s="24" t="s">
        <v>3</v>
      </c>
      <c r="H2" s="24" t="s">
        <v>2</v>
      </c>
      <c r="I2" s="24" t="s">
        <v>9</v>
      </c>
      <c r="J2" s="24" t="s">
        <v>11</v>
      </c>
      <c r="K2" s="24" t="s">
        <v>12</v>
      </c>
      <c r="L2" s="24" t="s">
        <v>4</v>
      </c>
      <c r="M2" s="24" t="s">
        <v>5</v>
      </c>
      <c r="N2" s="24" t="s">
        <v>6</v>
      </c>
    </row>
    <row r="3" spans="1:14">
      <c r="B3" t="s">
        <v>34</v>
      </c>
      <c r="C3">
        <v>454</v>
      </c>
      <c r="D3">
        <f>C3/L3*100</f>
        <v>85.49905838041431</v>
      </c>
      <c r="E3">
        <f>C3/$C$10*100</f>
        <v>67.25925925925927</v>
      </c>
      <c r="F3">
        <f>C3/$L$10*100</f>
        <v>56.75</v>
      </c>
      <c r="G3">
        <v>77</v>
      </c>
      <c r="H3">
        <f>G3/L3*100</f>
        <v>14.50094161958569</v>
      </c>
      <c r="I3">
        <f>G3/$G$10*100</f>
        <v>61.6</v>
      </c>
      <c r="J3">
        <f>G3/$L$10*100</f>
        <v>9.625</v>
      </c>
      <c r="K3">
        <f>F3+J3</f>
        <v>66.375</v>
      </c>
      <c r="L3">
        <f>C3+G3</f>
        <v>531</v>
      </c>
      <c r="M3">
        <f>H3-D3</f>
        <v>-70.99811676082862</v>
      </c>
      <c r="N3">
        <f>IF(G3=0,0,C3/G3)</f>
        <v>5.8961038961039</v>
      </c>
    </row>
    <row r="4" spans="1:14">
      <c r="B4" t="s">
        <v>35</v>
      </c>
      <c r="C4">
        <v>81</v>
      </c>
      <c r="D4">
        <f>C4/L4*100</f>
        <v>78.64077669902912</v>
      </c>
      <c r="E4">
        <f>C4/$C$10*100</f>
        <v>12</v>
      </c>
      <c r="F4">
        <f>C4/$L$10*100</f>
        <v>10.125</v>
      </c>
      <c r="G4">
        <v>22</v>
      </c>
      <c r="H4">
        <f>G4/L4*100</f>
        <v>21.35922330097087</v>
      </c>
      <c r="I4">
        <f>G4/$G$10*100</f>
        <v>17.6</v>
      </c>
      <c r="J4">
        <f>G4/$L$10*100</f>
        <v>2.75</v>
      </c>
      <c r="K4">
        <f>F4+J4</f>
        <v>12.875</v>
      </c>
      <c r="L4">
        <f>C4+G4</f>
        <v>103</v>
      </c>
      <c r="M4">
        <f>H4-D4</f>
        <v>-57.28155339805825</v>
      </c>
      <c r="N4">
        <f>IF(G4=0,0,C4/G4)</f>
        <v>3.68181818181818</v>
      </c>
    </row>
    <row r="5" spans="1:14">
      <c r="B5" t="s">
        <v>36</v>
      </c>
      <c r="C5">
        <v>74</v>
      </c>
      <c r="D5">
        <f>C5/L5*100</f>
        <v>86.04651162790698</v>
      </c>
      <c r="E5">
        <f>C5/$C$10*100</f>
        <v>10.96296296296296</v>
      </c>
      <c r="F5">
        <f>C5/$L$10*100</f>
        <v>9.25</v>
      </c>
      <c r="G5">
        <v>12</v>
      </c>
      <c r="H5">
        <f>G5/L5*100</f>
        <v>13.95348837209302</v>
      </c>
      <c r="I5">
        <f>G5/$G$10*100</f>
        <v>9.6</v>
      </c>
      <c r="J5">
        <f>G5/$L$10*100</f>
        <v>1.5</v>
      </c>
      <c r="K5">
        <f>F5+J5</f>
        <v>10.75</v>
      </c>
      <c r="L5">
        <f>C5+G5</f>
        <v>86</v>
      </c>
      <c r="M5">
        <f>H5-D5</f>
        <v>-72.093023255813961</v>
      </c>
      <c r="N5">
        <f>IF(G5=0,0,C5/G5)</f>
        <v>6.16666666666667</v>
      </c>
    </row>
    <row r="6" spans="1:14">
      <c r="B6" t="s">
        <v>37</v>
      </c>
      <c r="C6">
        <v>32</v>
      </c>
      <c r="D6">
        <f>C6/L6*100</f>
        <v>76.19047619047619</v>
      </c>
      <c r="E6">
        <f>C6/$C$10*100</f>
        <v>4.74074074074074</v>
      </c>
      <c r="F6">
        <f>C6/$L$10*100</f>
        <v>4</v>
      </c>
      <c r="G6">
        <v>10</v>
      </c>
      <c r="H6">
        <f>G6/L6*100</f>
        <v>23.80952380952381</v>
      </c>
      <c r="I6">
        <f>G6/$G$10*100</f>
        <v>8</v>
      </c>
      <c r="J6">
        <f>G6/$L$10*100</f>
        <v>1.25</v>
      </c>
      <c r="K6">
        <f>F6+J6</f>
        <v>5.25</v>
      </c>
      <c r="L6">
        <f>C6+G6</f>
        <v>42</v>
      </c>
      <c r="M6">
        <f>H6-D6</f>
        <v>-52.38095238095238</v>
      </c>
      <c r="N6">
        <f>IF(G6=0,0,C6/G6)</f>
        <v>3.2</v>
      </c>
    </row>
    <row r="7" spans="1:14">
      <c r="B7" t="s">
        <v>38</v>
      </c>
      <c r="C7">
        <v>27</v>
      </c>
      <c r="D7">
        <f>C7/L7*100</f>
        <v>90</v>
      </c>
      <c r="E7">
        <f>C7/$C$10*100</f>
        <v>4</v>
      </c>
      <c r="F7">
        <f>C7/$L$10*100</f>
        <v>3.375</v>
      </c>
      <c r="G7">
        <v>3</v>
      </c>
      <c r="H7">
        <f>G7/L7*100</f>
        <v>10</v>
      </c>
      <c r="I7">
        <f>G7/$G$10*100</f>
        <v>2.4</v>
      </c>
      <c r="J7">
        <f>G7/$L$10*100</f>
        <v>0.375</v>
      </c>
      <c r="K7">
        <f>F7+J7</f>
        <v>3.75</v>
      </c>
      <c r="L7">
        <f>C7+G7</f>
        <v>30</v>
      </c>
      <c r="M7">
        <f>H7-D7</f>
        <v>-80</v>
      </c>
      <c r="N7">
        <f>IF(G7=0,0,C7/G7)</f>
        <v>9</v>
      </c>
    </row>
    <row r="8" spans="1:14">
      <c r="B8" t="s">
        <v>39</v>
      </c>
      <c r="C8">
        <v>6</v>
      </c>
      <c r="D8">
        <f>C8/L8*100</f>
        <v>100</v>
      </c>
      <c r="E8">
        <f>C8/$C$10*100</f>
        <v>0.88888888888889</v>
      </c>
      <c r="F8">
        <f>C8/$L$10*100</f>
        <v>0.75</v>
      </c>
      <c r="G8">
        <v>0</v>
      </c>
      <c r="H8">
        <f>G8/L8*100</f>
        <v>0</v>
      </c>
      <c r="I8">
        <f>G8/$G$10*100</f>
        <v>0</v>
      </c>
      <c r="J8">
        <f>G8/$L$10*100</f>
        <v>0</v>
      </c>
      <c r="K8">
        <f>F8+J8</f>
        <v>0.75</v>
      </c>
      <c r="L8">
        <f>C8+G8</f>
        <v>6</v>
      </c>
      <c r="M8">
        <f>H8-D8</f>
        <v>-100</v>
      </c>
      <c r="N8">
        <f>IF(G8=0,0,C8/G8)</f>
        <v>0</v>
      </c>
    </row>
    <row r="9" spans="1:14">
      <c r="B9" t="s">
        <v>40</v>
      </c>
      <c r="C9">
        <v>1</v>
      </c>
      <c r="D9">
        <f>C9/L9*100</f>
        <v>50</v>
      </c>
      <c r="E9">
        <f>C9/$C$10*100</f>
        <v>0.14814814814815</v>
      </c>
      <c r="F9">
        <f>C9/$L$10*100</f>
        <v>0.125</v>
      </c>
      <c r="G9">
        <v>1</v>
      </c>
      <c r="H9">
        <f>G9/L9*100</f>
        <v>50</v>
      </c>
      <c r="I9">
        <f>G9/$G$10*100</f>
        <v>0.8</v>
      </c>
      <c r="J9">
        <f>G9/$L$10*100</f>
        <v>0.125</v>
      </c>
      <c r="K9">
        <f>F9+J9</f>
        <v>0.25</v>
      </c>
      <c r="L9">
        <f>C9+G9</f>
        <v>2</v>
      </c>
      <c r="M9">
        <f>H9-D9</f>
        <v>0</v>
      </c>
      <c r="N9">
        <f>IF(G9=0,0,C9/G9)</f>
        <v>1</v>
      </c>
    </row>
    <row r="10" spans="1:14">
      <c r="B10" t="s">
        <v>0</v>
      </c>
      <c r="C10">
        <f>SUM(C3:C9)</f>
        <v>675</v>
      </c>
      <c r="G10">
        <f>SUM(G3:G9)</f>
        <v>125</v>
      </c>
      <c r="L10">
        <f>SUM(L3:L9)</f>
        <v>800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7"/>
  <sheetViews>
    <sheetView tabSelected="0" workbookViewId="0" showGridLines="true" showRowColHeaders="1" topLeftCell="A2">
      <selection activeCell="P14" sqref="P14"/>
    </sheetView>
  </sheetViews>
  <sheetFormatPr defaultRowHeight="14.4" outlineLevelRow="0" outlineLevelCol="0"/>
  <cols>
    <col min="1" max="1" width="5.5703125" customWidth="true" style="0"/>
    <col min="2" max="2" width="18.7109375" customWidth="true" style="0"/>
    <col min="3" max="3" width="18.7109375" customWidth="true" style="0"/>
  </cols>
  <sheetData>
    <row r="2" spans="1:14" customHeight="1" ht="42.75">
      <c r="B2" s="24" t="s">
        <v>41</v>
      </c>
      <c r="C2" s="24" t="s">
        <v>1</v>
      </c>
      <c r="D2" s="24" t="s">
        <v>2</v>
      </c>
      <c r="E2" s="24" t="s">
        <v>9</v>
      </c>
      <c r="F2" s="24" t="s">
        <v>10</v>
      </c>
      <c r="G2" s="24" t="s">
        <v>3</v>
      </c>
      <c r="H2" s="24" t="s">
        <v>2</v>
      </c>
      <c r="I2" s="24" t="s">
        <v>9</v>
      </c>
      <c r="J2" s="24" t="s">
        <v>11</v>
      </c>
      <c r="K2" s="24" t="s">
        <v>12</v>
      </c>
      <c r="L2" s="24" t="s">
        <v>4</v>
      </c>
      <c r="M2" s="24" t="s">
        <v>5</v>
      </c>
      <c r="N2" s="24" t="s">
        <v>6</v>
      </c>
    </row>
    <row r="3" spans="1:14" customHeight="1" ht="28.5">
      <c r="B3" s="32" t="s">
        <v>42</v>
      </c>
      <c r="C3" s="25">
        <v>316</v>
      </c>
      <c r="D3" s="25">
        <f>C3/L3*100</f>
        <v>85.17520215633422</v>
      </c>
      <c r="E3" s="25">
        <f>C3/$C$8*100</f>
        <v>46.81481481481482</v>
      </c>
      <c r="F3" s="25">
        <f>C3/$L$8*100</f>
        <v>39.5</v>
      </c>
      <c r="G3" s="25">
        <v>55</v>
      </c>
      <c r="H3" s="25">
        <f>G3/L3*100</f>
        <v>14.82479784366577</v>
      </c>
      <c r="I3" s="25">
        <f>G3/$G$8*100</f>
        <v>44</v>
      </c>
      <c r="J3" s="25">
        <f>G3/$L$8*100</f>
        <v>6.875</v>
      </c>
      <c r="K3" s="25">
        <f>F3+J3</f>
        <v>46.375</v>
      </c>
      <c r="L3" s="25">
        <f>C3+G3</f>
        <v>371</v>
      </c>
      <c r="M3" s="25">
        <f>H3-D3</f>
        <v>-70.35040431266846</v>
      </c>
      <c r="N3" s="25">
        <f>C3/G3</f>
        <v>5.74545454545455</v>
      </c>
    </row>
    <row r="4" spans="1:14" customHeight="1" ht="28.5">
      <c r="B4" s="32" t="s">
        <v>43</v>
      </c>
      <c r="C4" s="25">
        <v>30</v>
      </c>
      <c r="D4" s="25">
        <f>C4/L4*100</f>
        <v>78.94736842105263</v>
      </c>
      <c r="E4" s="25">
        <f>C4/$C$8*100</f>
        <v>4.44444444444444</v>
      </c>
      <c r="F4" s="25">
        <f>C4/$L$8*100</f>
        <v>3.75</v>
      </c>
      <c r="G4" s="25">
        <v>8</v>
      </c>
      <c r="H4" s="25">
        <f>G4/L4*100</f>
        <v>21.052631578947366</v>
      </c>
      <c r="I4" s="25">
        <f>G4/$G$8*100</f>
        <v>6.4</v>
      </c>
      <c r="J4" s="25">
        <f>G4/$L$8*100</f>
        <v>1</v>
      </c>
      <c r="K4" s="25">
        <f>F4+J4</f>
        <v>4.75</v>
      </c>
      <c r="L4" s="25">
        <f>C4+G4</f>
        <v>38</v>
      </c>
      <c r="M4" s="25">
        <f>H4-D4</f>
        <v>-57.89473684210526</v>
      </c>
      <c r="N4" s="25">
        <f>C4/G4</f>
        <v>3.75</v>
      </c>
    </row>
    <row r="5" spans="1:14">
      <c r="B5" s="32" t="s">
        <v>44</v>
      </c>
      <c r="C5" s="25">
        <v>0</v>
      </c>
      <c r="D5" s="25" t="e">
        <f>C5/L5*100</f>
        <v>#DIV/0!</v>
      </c>
      <c r="E5" s="25">
        <f>C5/$C$8*100</f>
        <v>0</v>
      </c>
      <c r="F5" s="25">
        <f>C5/$L$8*100</f>
        <v>0</v>
      </c>
      <c r="G5" s="25">
        <v>0</v>
      </c>
      <c r="H5" s="25" t="e">
        <f>G5/L5*100</f>
        <v>#DIV/0!</v>
      </c>
      <c r="I5" s="25">
        <f>G5/$G$8*100</f>
        <v>0</v>
      </c>
      <c r="J5" s="25">
        <f>G5/$L$8*100</f>
        <v>0</v>
      </c>
      <c r="K5" s="25">
        <f>F5+J5</f>
        <v>0</v>
      </c>
      <c r="L5" s="25">
        <f>C5+G5</f>
        <v>0</v>
      </c>
      <c r="M5" s="25" t="e">
        <f>H5-D5</f>
        <v>#DIV/0!</v>
      </c>
      <c r="N5" s="25" t="e">
        <f>C5/G5</f>
        <v>#DIV/0!</v>
      </c>
    </row>
    <row r="6" spans="1:14" customHeight="1" ht="42.75">
      <c r="B6" s="29" t="s">
        <v>45</v>
      </c>
      <c r="C6" s="25">
        <v>260</v>
      </c>
      <c r="D6" s="25">
        <f>C6/L6*100</f>
        <v>85.52631578947368</v>
      </c>
      <c r="E6" s="25">
        <f>C6/$C$8*100</f>
        <v>38.51851851851852</v>
      </c>
      <c r="F6" s="25">
        <f>C6/$L$8*100</f>
        <v>32.5</v>
      </c>
      <c r="G6" s="25">
        <v>44</v>
      </c>
      <c r="H6" s="25">
        <f>G6/L6*100</f>
        <v>14.47368421052632</v>
      </c>
      <c r="I6" s="25">
        <f>G6/$G$8*100</f>
        <v>35.2</v>
      </c>
      <c r="J6" s="25">
        <f>G6/$L$8*100</f>
        <v>5.5</v>
      </c>
      <c r="K6" s="25">
        <f>F6+J6</f>
        <v>38</v>
      </c>
      <c r="L6" s="25">
        <f>C6+G6</f>
        <v>304</v>
      </c>
      <c r="M6" s="25">
        <f>H6-D6</f>
        <v>-71.05263157894737</v>
      </c>
      <c r="N6" s="25">
        <f>C6/G6</f>
        <v>5.90909090909091</v>
      </c>
    </row>
    <row r="7" spans="1:14" customHeight="1" ht="42.75">
      <c r="B7" s="32" t="s">
        <v>46</v>
      </c>
      <c r="C7" s="25">
        <v>69</v>
      </c>
      <c r="D7" s="25">
        <f>C7/L7*100</f>
        <v>79.31034482758621</v>
      </c>
      <c r="E7" s="25">
        <f>C7/$C$8*100</f>
        <v>10.22222222222222</v>
      </c>
      <c r="F7" s="25">
        <f>C7/$L$8*100</f>
        <v>8.625</v>
      </c>
      <c r="G7" s="25">
        <v>18</v>
      </c>
      <c r="H7" s="25">
        <f>G7/L7*100</f>
        <v>20.68965517241379</v>
      </c>
      <c r="I7" s="25">
        <f>G7/$G$8*100</f>
        <v>14.4</v>
      </c>
      <c r="J7" s="25">
        <f>G7/$L$8*100</f>
        <v>2.25</v>
      </c>
      <c r="K7" s="25">
        <f>F7+J7</f>
        <v>10.875</v>
      </c>
      <c r="L7" s="25">
        <f>C7+G7</f>
        <v>87</v>
      </c>
      <c r="M7" s="25">
        <f>H7-D7</f>
        <v>-58.62068965517241</v>
      </c>
      <c r="N7" s="25">
        <f>C7/G7</f>
        <v>3.83333333333333</v>
      </c>
    </row>
    <row r="8" spans="1:14">
      <c r="B8" s="31"/>
      <c r="C8" s="25">
        <v>675</v>
      </c>
      <c r="D8" s="25"/>
      <c r="E8" s="25">
        <f>SUM(E3:E7)</f>
        <v>100</v>
      </c>
      <c r="F8" s="25">
        <f>SUM(F3:F7)</f>
        <v>84.375</v>
      </c>
      <c r="G8" s="25">
        <v>125</v>
      </c>
      <c r="H8" s="25"/>
      <c r="I8" s="25">
        <f>SUM(I3:I7)</f>
        <v>100</v>
      </c>
      <c r="J8" s="25">
        <f>SUM(J3:J7)</f>
        <v>15.625</v>
      </c>
      <c r="K8" s="25">
        <f>SUM(K3:K7)</f>
        <v>100</v>
      </c>
      <c r="L8" s="25">
        <f>SUM(L3:L7)</f>
        <v>800</v>
      </c>
      <c r="M8" s="25"/>
      <c r="N8" s="25"/>
    </row>
    <row r="9" spans="1:14" customHeight="1" ht="16.5"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</row>
    <row r="10" spans="1:14" customHeight="1" ht="16.5"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</row>
    <row r="11" spans="1:14" customHeight="1" ht="16.5">
      <c r="B11" s="30"/>
      <c r="C11" s="31"/>
      <c r="D11" s="27" t="s">
        <v>1</v>
      </c>
      <c r="E11" s="27" t="s">
        <v>3</v>
      </c>
      <c r="F11" s="30"/>
      <c r="G11" s="30"/>
      <c r="H11" s="30"/>
      <c r="I11" s="30"/>
      <c r="J11" s="30"/>
      <c r="K11" s="30"/>
      <c r="L11" s="30"/>
      <c r="M11" s="30"/>
      <c r="N11" s="30"/>
    </row>
    <row r="12" spans="1:14" customHeight="1" ht="29.25">
      <c r="B12" s="30"/>
      <c r="C12" s="32" t="s">
        <v>42</v>
      </c>
      <c r="D12" s="21">
        <f>C3</f>
        <v>316</v>
      </c>
      <c r="E12" s="21">
        <f>G3</f>
        <v>55</v>
      </c>
      <c r="F12" s="30"/>
      <c r="G12" s="30"/>
      <c r="H12" s="30"/>
      <c r="I12" s="30"/>
      <c r="J12" s="30"/>
      <c r="K12" s="30"/>
      <c r="L12" s="30"/>
      <c r="M12" s="30"/>
      <c r="N12" s="30"/>
    </row>
    <row r="13" spans="1:14" customHeight="1" ht="29.25">
      <c r="B13" s="30"/>
      <c r="C13" s="32" t="s">
        <v>43</v>
      </c>
      <c r="D13" s="21">
        <v>316</v>
      </c>
      <c r="E13" s="21">
        <v>55</v>
      </c>
      <c r="F13" s="30"/>
      <c r="G13" s="30"/>
      <c r="H13" s="30"/>
      <c r="I13" s="30"/>
      <c r="J13" s="30"/>
      <c r="K13" s="30"/>
      <c r="L13" s="30"/>
      <c r="M13" s="30"/>
      <c r="N13" s="30"/>
    </row>
    <row r="14" spans="1:14" customHeight="1" ht="16.5">
      <c r="B14" s="30"/>
      <c r="C14" s="32" t="s">
        <v>44</v>
      </c>
      <c r="D14" s="21">
        <v>30</v>
      </c>
      <c r="E14" s="21">
        <v>8</v>
      </c>
      <c r="F14" s="30"/>
      <c r="G14" s="30"/>
      <c r="H14" s="30"/>
      <c r="I14" s="30"/>
      <c r="J14" s="30"/>
      <c r="K14" s="30"/>
      <c r="L14" s="30"/>
      <c r="M14" s="30"/>
      <c r="N14" s="30"/>
    </row>
    <row r="15" spans="1:14" customHeight="1" ht="42.75">
      <c r="B15" s="30"/>
      <c r="C15" s="29" t="s">
        <v>45</v>
      </c>
      <c r="D15" s="21">
        <v>0</v>
      </c>
      <c r="E15" s="21">
        <v>0</v>
      </c>
      <c r="F15" s="30"/>
      <c r="G15" s="30"/>
      <c r="H15" s="30"/>
      <c r="I15" s="30"/>
      <c r="J15" s="30"/>
      <c r="K15" s="30"/>
      <c r="L15" s="30"/>
      <c r="M15" s="30"/>
      <c r="N15" s="30"/>
    </row>
    <row r="16" spans="1:14" customHeight="1" ht="43.5">
      <c r="B16" s="30"/>
      <c r="C16" s="32" t="s">
        <v>46</v>
      </c>
      <c r="D16" s="21">
        <v>260</v>
      </c>
      <c r="E16" s="21">
        <v>44</v>
      </c>
      <c r="F16" s="30"/>
      <c r="G16" s="30"/>
      <c r="H16" s="30"/>
      <c r="I16" s="30"/>
      <c r="J16" s="30"/>
      <c r="K16" s="30"/>
      <c r="L16" s="30"/>
      <c r="M16" s="30"/>
      <c r="N16" s="30"/>
    </row>
    <row r="17" spans="1:14">
      <c r="D17">
        <v>69</v>
      </c>
      <c r="E17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3"/>
  <sheetViews>
    <sheetView tabSelected="0" workbookViewId="0" showGridLines="true" showRowColHeaders="1">
      <selection activeCell="I3" sqref="I3"/>
    </sheetView>
  </sheetViews>
  <sheetFormatPr defaultRowHeight="14.4" outlineLevelRow="0" outlineLevelCol="0"/>
  <cols>
    <col min="1" max="1" width="4.5703125" customWidth="true" style="0"/>
    <col min="2" max="2" width="12" customWidth="true" style="0"/>
    <col min="3" max="3" width="11.28515625" customWidth="true" style="0"/>
  </cols>
  <sheetData>
    <row r="2" spans="1:14" customHeight="1" ht="45">
      <c r="B2" s="11" t="s">
        <v>47</v>
      </c>
      <c r="C2" s="11" t="s">
        <v>1</v>
      </c>
      <c r="D2" s="11" t="s">
        <v>2</v>
      </c>
      <c r="E2" s="11" t="s">
        <v>9</v>
      </c>
      <c r="F2" s="11" t="s">
        <v>10</v>
      </c>
      <c r="G2" s="11" t="s">
        <v>3</v>
      </c>
      <c r="H2" s="11" t="s">
        <v>2</v>
      </c>
      <c r="I2" s="11" t="s">
        <v>9</v>
      </c>
      <c r="J2" s="11" t="s">
        <v>11</v>
      </c>
      <c r="K2" s="11" t="s">
        <v>12</v>
      </c>
      <c r="L2" s="11" t="s">
        <v>4</v>
      </c>
      <c r="M2" s="11" t="s">
        <v>5</v>
      </c>
      <c r="N2" s="11" t="s">
        <v>6</v>
      </c>
    </row>
    <row r="3" spans="1:14" customHeight="1" ht="26.25">
      <c r="B3" s="5" t="s">
        <v>48</v>
      </c>
      <c r="C3" s="2">
        <v>0</v>
      </c>
      <c r="D3" s="2" t="e">
        <f>C3/L3*100</f>
        <v>#DIV/0!</v>
      </c>
      <c r="E3" s="2">
        <f>C3/$C$7*100</f>
        <v>0</v>
      </c>
      <c r="F3" s="2">
        <f>C3/$L$7*100</f>
        <v>0</v>
      </c>
      <c r="G3" s="2">
        <v>0</v>
      </c>
      <c r="H3" s="2" t="e">
        <f>G3/L3*100</f>
        <v>#DIV/0!</v>
      </c>
      <c r="I3" s="2">
        <f>G3/$G$7*100</f>
        <v>0</v>
      </c>
      <c r="J3" s="2">
        <f>G3/$L$7*100</f>
        <v>0</v>
      </c>
      <c r="K3" s="2">
        <f>F3+J3</f>
        <v>0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1:14" customHeight="1" ht="26.25">
      <c r="B4" s="5" t="s">
        <v>49</v>
      </c>
      <c r="C4" s="2">
        <v>73</v>
      </c>
      <c r="D4" s="2">
        <f>C4/L4*100</f>
        <v>74.48979591836735</v>
      </c>
      <c r="E4" s="2">
        <f>C4/$C$7*100</f>
        <v>10.81481481481481</v>
      </c>
      <c r="F4" s="2">
        <f>C4/$L$7*100</f>
        <v>9.125</v>
      </c>
      <c r="G4" s="2">
        <v>25</v>
      </c>
      <c r="H4" s="2">
        <f>G4/L4*100</f>
        <v>25.51020408163265</v>
      </c>
      <c r="I4" s="2">
        <f>G4/$G$7*100</f>
        <v>20</v>
      </c>
      <c r="J4" s="2">
        <f>G4/$L$7*100</f>
        <v>3.125</v>
      </c>
      <c r="K4" s="2">
        <f>F4+J4</f>
        <v>12.25</v>
      </c>
      <c r="L4" s="2">
        <f>C4+G4</f>
        <v>98</v>
      </c>
      <c r="M4" s="2">
        <f>H4-D4</f>
        <v>-48.9795918367347</v>
      </c>
      <c r="N4" s="2">
        <f>C4/G4</f>
        <v>2.92</v>
      </c>
    </row>
    <row r="5" spans="1:14" customHeight="1" ht="26.25">
      <c r="B5" s="5" t="s">
        <v>50</v>
      </c>
      <c r="C5" s="2">
        <v>26</v>
      </c>
      <c r="D5" s="2">
        <f>C5/L5*100</f>
        <v>96.29629629629629</v>
      </c>
      <c r="E5" s="2">
        <f>C5/$C$7*100</f>
        <v>3.85185185185185</v>
      </c>
      <c r="F5" s="2">
        <f>C5/$L$7*100</f>
        <v>3.25</v>
      </c>
      <c r="G5" s="2">
        <v>1</v>
      </c>
      <c r="H5" s="2">
        <f>G5/L5*100</f>
        <v>3.7037037037037</v>
      </c>
      <c r="I5" s="2">
        <f>G5/$G$7*100</f>
        <v>0.8</v>
      </c>
      <c r="J5" s="2">
        <f>G5/$L$7*100</f>
        <v>0.125</v>
      </c>
      <c r="K5" s="2">
        <f>F5+J5</f>
        <v>3.375</v>
      </c>
      <c r="L5" s="2">
        <f>C5+G5</f>
        <v>27</v>
      </c>
      <c r="M5" s="2">
        <f>H5-D5</f>
        <v>-92.59259259259258</v>
      </c>
      <c r="N5" s="2">
        <f>C5/G5</f>
        <v>26</v>
      </c>
    </row>
    <row r="6" spans="1:14" customHeight="1" ht="25.5">
      <c r="B6" s="6" t="s">
        <v>51</v>
      </c>
      <c r="C6" s="2">
        <v>576</v>
      </c>
      <c r="D6" s="2">
        <f>C6/L6*100</f>
        <v>85.33333333333334</v>
      </c>
      <c r="E6" s="2">
        <f>C6/$C$7*100</f>
        <v>85.33333333333334</v>
      </c>
      <c r="F6" s="2">
        <f>C6/$L$7*100</f>
        <v>72</v>
      </c>
      <c r="G6" s="2">
        <v>99</v>
      </c>
      <c r="H6" s="2">
        <f>G6/L6*100</f>
        <v>14.66666666666667</v>
      </c>
      <c r="I6" s="2">
        <f>G6/$G$7*100</f>
        <v>79.2</v>
      </c>
      <c r="J6" s="2">
        <f>G6/$L$7*100</f>
        <v>12.375</v>
      </c>
      <c r="K6" s="2">
        <f>F6+J6</f>
        <v>84.375</v>
      </c>
      <c r="L6" s="2">
        <f>C6+G6</f>
        <v>675</v>
      </c>
      <c r="M6" s="2">
        <f>H6-D6</f>
        <v>-70.66666666666667</v>
      </c>
      <c r="N6" s="2">
        <f>C6/G6</f>
        <v>5.81818181818182</v>
      </c>
    </row>
    <row r="7" spans="1:14">
      <c r="C7" s="2">
        <v>675</v>
      </c>
      <c r="D7" s="2"/>
      <c r="E7" s="2">
        <f>SUM(E3:E6)</f>
        <v>100</v>
      </c>
      <c r="F7" s="2">
        <f>SUM(F3:F6)</f>
        <v>84.375</v>
      </c>
      <c r="G7" s="2">
        <v>125</v>
      </c>
      <c r="H7" s="2"/>
      <c r="I7" s="2">
        <f>SUM(I3:I6)</f>
        <v>100</v>
      </c>
      <c r="J7" s="2">
        <f>SUM(J3:J6)</f>
        <v>15.625</v>
      </c>
      <c r="K7" s="2">
        <f>SUM(K3:K6)</f>
        <v>100</v>
      </c>
      <c r="L7" s="2">
        <f>SUM(L3:L6)</f>
        <v>800</v>
      </c>
      <c r="M7" s="2"/>
      <c r="N7" s="2"/>
    </row>
    <row r="9" spans="1:14">
      <c r="D9" s="12" t="s">
        <v>1</v>
      </c>
      <c r="E9" s="12" t="s">
        <v>3</v>
      </c>
    </row>
    <row r="10" spans="1:14" customHeight="1" ht="26.25">
      <c r="C10" s="5" t="s">
        <v>48</v>
      </c>
      <c r="D10" s="4">
        <f>C3</f>
        <v>0</v>
      </c>
      <c r="E10" s="4">
        <f>G3</f>
        <v>0</v>
      </c>
    </row>
    <row r="11" spans="1:14" customHeight="1" ht="26.25">
      <c r="C11" s="5" t="s">
        <v>49</v>
      </c>
      <c r="D11" s="4">
        <f>C4</f>
        <v>73</v>
      </c>
      <c r="E11" s="4">
        <f>G4</f>
        <v>25</v>
      </c>
    </row>
    <row r="12" spans="1:14" customHeight="1" ht="26.25">
      <c r="C12" s="5" t="s">
        <v>50</v>
      </c>
      <c r="D12" s="4">
        <f>C5</f>
        <v>26</v>
      </c>
      <c r="E12" s="4">
        <f>G5</f>
        <v>1</v>
      </c>
    </row>
    <row r="13" spans="1:14" customHeight="1" ht="25.5">
      <c r="C13" s="6" t="s">
        <v>51</v>
      </c>
      <c r="D13" s="4">
        <f>C6</f>
        <v>576</v>
      </c>
      <c r="E13" s="4">
        <f>G6</f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36"/>
  <sheetViews>
    <sheetView tabSelected="0" workbookViewId="0" showGridLines="true" showRowColHeaders="1">
      <selection activeCell="J8" sqref="J8"/>
    </sheetView>
  </sheetViews>
  <sheetFormatPr defaultRowHeight="14.4" outlineLevelRow="0" outlineLevelCol="0"/>
  <cols>
    <col min="1" max="1" width="4.140625" customWidth="true" style="0"/>
    <col min="2" max="2" width="14.5703125" customWidth="true" style="0"/>
  </cols>
  <sheetData>
    <row r="2" spans="1:14" customHeight="1" ht="45">
      <c r="B2" s="11" t="s">
        <v>52</v>
      </c>
      <c r="C2" s="11" t="s">
        <v>1</v>
      </c>
      <c r="D2" s="11" t="s">
        <v>2</v>
      </c>
      <c r="E2" s="11" t="s">
        <v>9</v>
      </c>
      <c r="F2" s="11" t="s">
        <v>10</v>
      </c>
      <c r="G2" s="11" t="s">
        <v>3</v>
      </c>
      <c r="H2" s="11" t="s">
        <v>2</v>
      </c>
      <c r="I2" s="11" t="s">
        <v>9</v>
      </c>
      <c r="J2" s="11" t="s">
        <v>11</v>
      </c>
      <c r="K2" s="11" t="s">
        <v>12</v>
      </c>
      <c r="L2" s="11" t="s">
        <v>4</v>
      </c>
      <c r="M2" s="11" t="s">
        <v>5</v>
      </c>
      <c r="N2" s="11" t="s">
        <v>6</v>
      </c>
    </row>
    <row r="3" spans="1:14">
      <c r="B3" s="5" t="s">
        <v>53</v>
      </c>
      <c r="C3" s="2">
        <v>402</v>
      </c>
      <c r="D3" s="2">
        <f>C3/L3*100</f>
        <v>86.45161290322581</v>
      </c>
      <c r="E3" s="2">
        <f>C3/$C$36*100</f>
        <v>59.55555555555555</v>
      </c>
      <c r="F3" s="2">
        <f>C3/$L$36*100</f>
        <v>50.24999999999999</v>
      </c>
      <c r="G3" s="2">
        <v>63</v>
      </c>
      <c r="H3" s="2">
        <f>G3/L3*100</f>
        <v>13.5483870967742</v>
      </c>
      <c r="I3" s="2">
        <f>G3/$G$36*100</f>
        <v>50.4</v>
      </c>
      <c r="J3" s="2">
        <f>G3/$L$36*100</f>
        <v>7.875</v>
      </c>
      <c r="K3" s="2">
        <f>F3+J3</f>
        <v>58.12499999999999</v>
      </c>
      <c r="L3" s="2">
        <f>C3+G3</f>
        <v>465</v>
      </c>
      <c r="M3" s="2">
        <f>H3-D3</f>
        <v>-72.90322580645162</v>
      </c>
      <c r="N3" s="2">
        <f>C3/G3</f>
        <v>6.38095238095238</v>
      </c>
    </row>
    <row r="4" spans="1:14">
      <c r="B4" t="s">
        <v>54</v>
      </c>
      <c r="C4">
        <v>120</v>
      </c>
      <c r="D4">
        <f>C4/L4*100</f>
        <v>96</v>
      </c>
      <c r="E4">
        <f>C4/$C$36*100</f>
        <v>17.77777777777778</v>
      </c>
      <c r="F4">
        <f>C4/$L$36*100</f>
        <v>15</v>
      </c>
      <c r="G4">
        <v>5</v>
      </c>
      <c r="H4">
        <f>G4/L4*100</f>
        <v>4</v>
      </c>
      <c r="I4">
        <f>G4/$G$36*100</f>
        <v>4</v>
      </c>
      <c r="J4">
        <f>G4/$L$36*100</f>
        <v>0.625</v>
      </c>
      <c r="K4">
        <f>F4+J4</f>
        <v>15.625</v>
      </c>
      <c r="L4">
        <f>C4+G4</f>
        <v>125</v>
      </c>
      <c r="M4">
        <f>H4-D4</f>
        <v>-92</v>
      </c>
      <c r="N4">
        <f>C4/G4</f>
        <v>24</v>
      </c>
    </row>
    <row r="5" spans="1:14">
      <c r="B5" t="s">
        <v>55</v>
      </c>
      <c r="C5">
        <v>31</v>
      </c>
      <c r="D5">
        <f>C5/L5*100</f>
        <v>73.80952380952381</v>
      </c>
      <c r="E5">
        <f>C5/$C$36*100</f>
        <v>4.59259259259259</v>
      </c>
      <c r="F5">
        <f>C5/$L$36*100</f>
        <v>3.875</v>
      </c>
      <c r="G5">
        <v>11</v>
      </c>
      <c r="H5">
        <f>G5/L5*100</f>
        <v>26.19047619047619</v>
      </c>
      <c r="I5">
        <f>G5/$G$36*100</f>
        <v>8.8</v>
      </c>
      <c r="J5">
        <f>G5/$L$36*100</f>
        <v>1.375</v>
      </c>
      <c r="K5">
        <f>F5+J5</f>
        <v>5.25</v>
      </c>
      <c r="L5">
        <f>C5+G5</f>
        <v>42</v>
      </c>
      <c r="M5">
        <f>H5-D5</f>
        <v>-47.61904761904762</v>
      </c>
      <c r="N5">
        <f>C5/G5</f>
        <v>2.81818181818182</v>
      </c>
    </row>
    <row r="6" spans="1:14">
      <c r="B6" t="s">
        <v>56</v>
      </c>
      <c r="C6">
        <v>22</v>
      </c>
      <c r="D6">
        <f>C6/L6*100</f>
        <v>91.66666666666666</v>
      </c>
      <c r="E6">
        <f>C6/$C$36*100</f>
        <v>3.25925925925926</v>
      </c>
      <c r="F6">
        <f>C6/$L$36*100</f>
        <v>2.75</v>
      </c>
      <c r="G6">
        <v>2</v>
      </c>
      <c r="H6">
        <f>G6/L6*100</f>
        <v>8.33333333333333</v>
      </c>
      <c r="I6">
        <f>G6/$G$36*100</f>
        <v>1.6</v>
      </c>
      <c r="J6">
        <f>G6/$L$36*100</f>
        <v>0.25</v>
      </c>
      <c r="K6">
        <f>F6+J6</f>
        <v>3</v>
      </c>
      <c r="L6">
        <f>C6+G6</f>
        <v>24</v>
      </c>
      <c r="M6">
        <f>H6-D6</f>
        <v>-83.33333333333333</v>
      </c>
      <c r="N6">
        <f>C6/G6</f>
        <v>11</v>
      </c>
    </row>
    <row r="7" spans="1:14">
      <c r="B7" t="s">
        <v>57</v>
      </c>
      <c r="C7">
        <v>13</v>
      </c>
      <c r="D7">
        <f>C7/L7*100</f>
        <v>76.47058823529412</v>
      </c>
      <c r="E7">
        <f>C7/$C$36*100</f>
        <v>1.92592592592593</v>
      </c>
      <c r="F7">
        <f>C7/$L$36*100</f>
        <v>1.625</v>
      </c>
      <c r="G7">
        <v>4</v>
      </c>
      <c r="H7">
        <f>G7/L7*100</f>
        <v>23.52941176470588</v>
      </c>
      <c r="I7">
        <f>G7/$G$36*100</f>
        <v>3.2</v>
      </c>
      <c r="J7">
        <f>G7/$L$36*100</f>
        <v>0.5</v>
      </c>
      <c r="K7">
        <f>F7+J7</f>
        <v>2.125</v>
      </c>
      <c r="L7">
        <f>C7+G7</f>
        <v>17</v>
      </c>
      <c r="M7">
        <f>H7-D7</f>
        <v>-52.94117647058823</v>
      </c>
      <c r="N7">
        <f>C7/G7</f>
        <v>3.25</v>
      </c>
    </row>
    <row r="8" spans="1:14">
      <c r="B8" t="s">
        <v>58</v>
      </c>
      <c r="C8">
        <v>8</v>
      </c>
      <c r="D8">
        <f>C8/L8*100</f>
        <v>53.33333333333334</v>
      </c>
      <c r="E8">
        <f>C8/$C$36*100</f>
        <v>1.18518518518519</v>
      </c>
      <c r="F8">
        <f>C8/$L$36*100</f>
        <v>1</v>
      </c>
      <c r="G8">
        <v>7</v>
      </c>
      <c r="H8">
        <f>G8/L8*100</f>
        <v>46.66666666666666</v>
      </c>
      <c r="I8">
        <f>G8/$G$36*100</f>
        <v>5.6</v>
      </c>
      <c r="J8">
        <f>G8/$L$36*100</f>
        <v>0.875</v>
      </c>
      <c r="K8">
        <f>F8+J8</f>
        <v>1.875</v>
      </c>
      <c r="L8">
        <f>C8+G8</f>
        <v>15</v>
      </c>
      <c r="M8">
        <f>H8-D8</f>
        <v>-6.66666666666667</v>
      </c>
      <c r="N8">
        <f>C8/G8</f>
        <v>1.14285714285714</v>
      </c>
    </row>
    <row r="9" spans="1:14">
      <c r="B9" t="s">
        <v>59</v>
      </c>
      <c r="C9">
        <v>13</v>
      </c>
      <c r="D9">
        <f>C9/L9*100</f>
        <v>86.66666666666667</v>
      </c>
      <c r="E9">
        <f>C9/$C$36*100</f>
        <v>1.92592592592593</v>
      </c>
      <c r="F9">
        <f>C9/$L$36*100</f>
        <v>1.625</v>
      </c>
      <c r="G9">
        <v>2</v>
      </c>
      <c r="H9">
        <f>G9/L9*100</f>
        <v>13.33333333333333</v>
      </c>
      <c r="I9">
        <f>G9/$G$36*100</f>
        <v>1.6</v>
      </c>
      <c r="J9">
        <f>G9/$L$36*100</f>
        <v>0.25</v>
      </c>
      <c r="K9">
        <f>F9+J9</f>
        <v>1.875</v>
      </c>
      <c r="L9">
        <f>C9+G9</f>
        <v>15</v>
      </c>
      <c r="M9">
        <f>H9-D9</f>
        <v>-73.33333333333334</v>
      </c>
      <c r="N9">
        <f>C9/G9</f>
        <v>6.5</v>
      </c>
    </row>
    <row r="10" spans="1:14">
      <c r="B10" t="s">
        <v>60</v>
      </c>
      <c r="C10">
        <v>12</v>
      </c>
      <c r="D10">
        <f>C10/L10*100</f>
        <v>100</v>
      </c>
      <c r="E10">
        <f>C10/$C$36*100</f>
        <v>1.77777777777778</v>
      </c>
      <c r="F10">
        <f>C10/$L$36*100</f>
        <v>1.5</v>
      </c>
      <c r="G10">
        <v>0</v>
      </c>
      <c r="H10">
        <f>G10/L10*100</f>
        <v>0</v>
      </c>
      <c r="I10">
        <f>G10/$G$36*100</f>
        <v>0</v>
      </c>
      <c r="J10">
        <f>G10/$L$36*100</f>
        <v>0</v>
      </c>
      <c r="K10">
        <f>F10+J10</f>
        <v>1.5</v>
      </c>
      <c r="L10">
        <f>C10+G10</f>
        <v>12</v>
      </c>
      <c r="M10">
        <f>H10-D10</f>
        <v>-100</v>
      </c>
      <c r="N10" t="e">
        <f>C10/G10</f>
        <v>#DIV/0!</v>
      </c>
    </row>
    <row r="11" spans="1:14">
      <c r="B11" t="s">
        <v>61</v>
      </c>
      <c r="C11">
        <v>10</v>
      </c>
      <c r="D11">
        <f>C11/L11*100</f>
        <v>83.33333333333334</v>
      </c>
      <c r="E11">
        <f>C11/$C$36*100</f>
        <v>1.48148148148148</v>
      </c>
      <c r="F11">
        <f>C11/$L$36*100</f>
        <v>1.25</v>
      </c>
      <c r="G11">
        <v>2</v>
      </c>
      <c r="H11">
        <f>G11/L11*100</f>
        <v>16.66666666666666</v>
      </c>
      <c r="I11">
        <f>G11/$G$36*100</f>
        <v>1.6</v>
      </c>
      <c r="J11">
        <f>G11/$L$36*100</f>
        <v>0.25</v>
      </c>
      <c r="K11">
        <f>F11+J11</f>
        <v>1.5</v>
      </c>
      <c r="L11">
        <f>C11+G11</f>
        <v>12</v>
      </c>
      <c r="M11">
        <f>H11-D11</f>
        <v>-66.66666666666669</v>
      </c>
      <c r="N11">
        <f>C11/G11</f>
        <v>5</v>
      </c>
    </row>
    <row r="12" spans="1:14">
      <c r="B12" t="s">
        <v>62</v>
      </c>
      <c r="C12">
        <v>9</v>
      </c>
      <c r="D12">
        <f>C12/L12*100</f>
        <v>75</v>
      </c>
      <c r="E12">
        <f>C12/$C$36*100</f>
        <v>1.33333333333333</v>
      </c>
      <c r="F12">
        <f>C12/$L$36*100</f>
        <v>1.125</v>
      </c>
      <c r="G12">
        <v>3</v>
      </c>
      <c r="H12">
        <f>G12/L12*100</f>
        <v>25</v>
      </c>
      <c r="I12">
        <f>G12/$G$36*100</f>
        <v>2.4</v>
      </c>
      <c r="J12">
        <f>G12/$L$36*100</f>
        <v>0.375</v>
      </c>
      <c r="K12">
        <f>F12+J12</f>
        <v>1.5</v>
      </c>
      <c r="L12">
        <f>C12+G12</f>
        <v>12</v>
      </c>
      <c r="M12">
        <f>H12-D12</f>
        <v>-50</v>
      </c>
      <c r="N12">
        <f>C12/G12</f>
        <v>3</v>
      </c>
    </row>
    <row r="13" spans="1:14">
      <c r="B13" t="s">
        <v>63</v>
      </c>
      <c r="C13">
        <v>7</v>
      </c>
      <c r="D13">
        <f>C13/L13*100</f>
        <v>100</v>
      </c>
      <c r="E13">
        <f>C13/$C$36*100</f>
        <v>1.037037037037037</v>
      </c>
      <c r="F13">
        <f>C13/$L$36*100</f>
        <v>0.875</v>
      </c>
      <c r="G13">
        <v>0</v>
      </c>
      <c r="H13">
        <f>G13/L13*100</f>
        <v>0</v>
      </c>
      <c r="I13">
        <f>G13/$G$36*100</f>
        <v>0</v>
      </c>
      <c r="J13">
        <f>G13/$L$36*100</f>
        <v>0</v>
      </c>
      <c r="K13">
        <f>F13+J13</f>
        <v>0.875</v>
      </c>
      <c r="L13">
        <f>C13+G13</f>
        <v>7</v>
      </c>
      <c r="M13">
        <f>H13-D13</f>
        <v>-100</v>
      </c>
      <c r="N13" t="e">
        <f>C13/G13</f>
        <v>#DIV/0!</v>
      </c>
    </row>
    <row r="14" spans="1:14">
      <c r="B14" t="s">
        <v>64</v>
      </c>
      <c r="C14">
        <v>6</v>
      </c>
      <c r="D14">
        <f>C14/L14*100</f>
        <v>85.71428571428571</v>
      </c>
      <c r="E14">
        <f>C14/$C$36*100</f>
        <v>0.88888888888889</v>
      </c>
      <c r="F14">
        <f>C14/$L$36*100</f>
        <v>0.75</v>
      </c>
      <c r="G14">
        <v>1</v>
      </c>
      <c r="H14">
        <f>G14/L14*100</f>
        <v>14.28571428571428</v>
      </c>
      <c r="I14">
        <f>G14/$G$36*100</f>
        <v>0.8</v>
      </c>
      <c r="J14">
        <f>G14/$L$36*100</f>
        <v>0.125</v>
      </c>
      <c r="K14">
        <f>F14+J14</f>
        <v>0.875</v>
      </c>
      <c r="L14">
        <f>C14+G14</f>
        <v>7</v>
      </c>
      <c r="M14">
        <f>H14-D14</f>
        <v>-71.42857142857142</v>
      </c>
      <c r="N14">
        <f>C14/G14</f>
        <v>6</v>
      </c>
    </row>
    <row r="15" spans="1:14">
      <c r="B15" t="s">
        <v>65</v>
      </c>
      <c r="C15">
        <v>1</v>
      </c>
      <c r="D15">
        <f>C15/L15*100</f>
        <v>16.66666666666666</v>
      </c>
      <c r="E15">
        <f>C15/$C$36*100</f>
        <v>0.14814814814815</v>
      </c>
      <c r="F15">
        <f>C15/$L$36*100</f>
        <v>0.125</v>
      </c>
      <c r="G15">
        <v>5</v>
      </c>
      <c r="H15">
        <f>G15/L15*100</f>
        <v>83.33333333333334</v>
      </c>
      <c r="I15">
        <f>G15/$G$36*100</f>
        <v>4</v>
      </c>
      <c r="J15">
        <f>G15/$L$36*100</f>
        <v>0.625</v>
      </c>
      <c r="K15">
        <f>F15+J15</f>
        <v>0.75</v>
      </c>
      <c r="L15">
        <f>C15+G15</f>
        <v>6</v>
      </c>
      <c r="M15">
        <f>H15-D15</f>
        <v>66.66666666666669</v>
      </c>
      <c r="N15">
        <f>C15/G15</f>
        <v>0.2</v>
      </c>
    </row>
    <row r="16" spans="1:14">
      <c r="B16" t="s">
        <v>66</v>
      </c>
      <c r="C16">
        <v>6</v>
      </c>
      <c r="D16">
        <f>C16/L16*100</f>
        <v>100</v>
      </c>
      <c r="E16">
        <f>C16/$C$36*100</f>
        <v>0.88888888888889</v>
      </c>
      <c r="F16">
        <f>C16/$L$36*100</f>
        <v>0.75</v>
      </c>
      <c r="G16">
        <v>0</v>
      </c>
      <c r="H16">
        <f>G16/L16*100</f>
        <v>0</v>
      </c>
      <c r="I16">
        <f>G16/$G$36*100</f>
        <v>0</v>
      </c>
      <c r="J16">
        <f>G16/$L$36*100</f>
        <v>0</v>
      </c>
      <c r="K16">
        <f>F16+J16</f>
        <v>0.75</v>
      </c>
      <c r="L16">
        <f>C16+G16</f>
        <v>6</v>
      </c>
      <c r="M16">
        <f>H16-D16</f>
        <v>-100</v>
      </c>
      <c r="N16" t="e">
        <f>C16/G16</f>
        <v>#DIV/0!</v>
      </c>
    </row>
    <row r="17" spans="1:14">
      <c r="B17" t="s">
        <v>67</v>
      </c>
      <c r="C17">
        <v>0</v>
      </c>
      <c r="D17">
        <f>C17/L17*100</f>
        <v>0</v>
      </c>
      <c r="E17">
        <f>C17/$C$36*100</f>
        <v>0</v>
      </c>
      <c r="F17">
        <f>C17/$L$36*100</f>
        <v>0</v>
      </c>
      <c r="G17">
        <v>5</v>
      </c>
      <c r="H17">
        <f>G17/L17*100</f>
        <v>100</v>
      </c>
      <c r="I17">
        <f>G17/$G$36*100</f>
        <v>4</v>
      </c>
      <c r="J17">
        <f>G17/$L$36*100</f>
        <v>0.625</v>
      </c>
      <c r="K17">
        <f>F17+J17</f>
        <v>0.625</v>
      </c>
      <c r="L17">
        <f>C17+G17</f>
        <v>5</v>
      </c>
      <c r="M17">
        <f>H17-D17</f>
        <v>100</v>
      </c>
      <c r="N17">
        <f>C17/G17</f>
        <v>0</v>
      </c>
    </row>
    <row r="18" spans="1:14">
      <c r="B18" t="s">
        <v>68</v>
      </c>
      <c r="C18">
        <v>0</v>
      </c>
      <c r="D18">
        <f>C18/L18*100</f>
        <v>0</v>
      </c>
      <c r="E18">
        <f>C18/$C$36*100</f>
        <v>0</v>
      </c>
      <c r="F18">
        <f>C18/$L$36*100</f>
        <v>0</v>
      </c>
      <c r="G18">
        <v>5</v>
      </c>
      <c r="H18">
        <f>G18/L18*100</f>
        <v>100</v>
      </c>
      <c r="I18">
        <f>G18/$G$36*100</f>
        <v>4</v>
      </c>
      <c r="J18">
        <f>G18/$L$36*100</f>
        <v>0.625</v>
      </c>
      <c r="K18">
        <f>F18+J18</f>
        <v>0.625</v>
      </c>
      <c r="L18">
        <f>C18+G18</f>
        <v>5</v>
      </c>
      <c r="M18">
        <f>H18-D18</f>
        <v>100</v>
      </c>
      <c r="N18">
        <f>C18/G18</f>
        <v>0</v>
      </c>
    </row>
    <row r="19" spans="1:14">
      <c r="B19" t="s">
        <v>69</v>
      </c>
      <c r="C19">
        <v>2</v>
      </c>
      <c r="D19">
        <f>C19/L19*100</f>
        <v>50</v>
      </c>
      <c r="E19">
        <f>C19/$C$36*100</f>
        <v>0.2962962962963</v>
      </c>
      <c r="F19">
        <f>C19/$L$36*100</f>
        <v>0.25</v>
      </c>
      <c r="G19">
        <v>2</v>
      </c>
      <c r="H19">
        <f>G19/L19*100</f>
        <v>50</v>
      </c>
      <c r="I19">
        <f>G19/$G$36*100</f>
        <v>1.6</v>
      </c>
      <c r="J19">
        <f>G19/$L$36*100</f>
        <v>0.25</v>
      </c>
      <c r="K19">
        <f>F19+J19</f>
        <v>0.5</v>
      </c>
      <c r="L19">
        <f>C19+G19</f>
        <v>4</v>
      </c>
      <c r="M19">
        <f>H19-D19</f>
        <v>0</v>
      </c>
      <c r="N19">
        <f>C19/G19</f>
        <v>1</v>
      </c>
    </row>
    <row r="20" spans="1:14">
      <c r="B20" t="s">
        <v>70</v>
      </c>
      <c r="C20">
        <v>2</v>
      </c>
      <c r="D20">
        <f>C20/L20*100</f>
        <v>66.66666666666666</v>
      </c>
      <c r="E20">
        <f>C20/$C$36*100</f>
        <v>0.2962962962963</v>
      </c>
      <c r="F20">
        <f>C20/$L$36*100</f>
        <v>0.25</v>
      </c>
      <c r="G20">
        <v>1</v>
      </c>
      <c r="H20">
        <f>G20/L20*100</f>
        <v>33.33333333333333</v>
      </c>
      <c r="I20">
        <f>G20/$G$36*100</f>
        <v>0.8</v>
      </c>
      <c r="J20">
        <f>G20/$L$36*100</f>
        <v>0.125</v>
      </c>
      <c r="K20">
        <f>F20+J20</f>
        <v>0.375</v>
      </c>
      <c r="L20">
        <f>C20+G20</f>
        <v>3</v>
      </c>
      <c r="M20">
        <f>H20-D20</f>
        <v>-33.33333333333333</v>
      </c>
      <c r="N20">
        <f>C20/G20</f>
        <v>2</v>
      </c>
    </row>
    <row r="21" spans="1:14">
      <c r="B21" t="s">
        <v>71</v>
      </c>
      <c r="C21">
        <v>2</v>
      </c>
      <c r="D21">
        <f>C21/L21*100</f>
        <v>100</v>
      </c>
      <c r="E21">
        <f>C21/$C$36*100</f>
        <v>0.2962962962963</v>
      </c>
      <c r="F21">
        <f>C21/$L$36*100</f>
        <v>0.25</v>
      </c>
      <c r="G21">
        <v>0</v>
      </c>
      <c r="H21">
        <f>G21/L21*100</f>
        <v>0</v>
      </c>
      <c r="I21">
        <f>G21/$G$36*100</f>
        <v>0</v>
      </c>
      <c r="J21">
        <f>G21/$L$36*100</f>
        <v>0</v>
      </c>
      <c r="K21">
        <f>F21+J21</f>
        <v>0.25</v>
      </c>
      <c r="L21">
        <f>C21+G21</f>
        <v>2</v>
      </c>
      <c r="M21">
        <f>H21-D21</f>
        <v>-100</v>
      </c>
      <c r="N21" t="e">
        <f>C21/G21</f>
        <v>#DIV/0!</v>
      </c>
    </row>
    <row r="22" spans="1:14">
      <c r="B22" t="s">
        <v>72</v>
      </c>
      <c r="C22">
        <v>0</v>
      </c>
      <c r="D22">
        <f>C22/L22*100</f>
        <v>0</v>
      </c>
      <c r="E22">
        <f>C22/$C$36*100</f>
        <v>0</v>
      </c>
      <c r="F22">
        <f>C22/$L$36*100</f>
        <v>0</v>
      </c>
      <c r="G22">
        <v>2</v>
      </c>
      <c r="H22">
        <f>G22/L22*100</f>
        <v>100</v>
      </c>
      <c r="I22">
        <f>G22/$G$36*100</f>
        <v>1.6</v>
      </c>
      <c r="J22">
        <f>G22/$L$36*100</f>
        <v>0.25</v>
      </c>
      <c r="K22">
        <f>F22+J22</f>
        <v>0.25</v>
      </c>
      <c r="L22">
        <f>C22+G22</f>
        <v>2</v>
      </c>
      <c r="M22">
        <f>H22-D22</f>
        <v>100</v>
      </c>
      <c r="N22">
        <f>C22/G22</f>
        <v>0</v>
      </c>
    </row>
    <row r="23" spans="1:14">
      <c r="B23" t="s">
        <v>73</v>
      </c>
      <c r="C23">
        <v>0</v>
      </c>
      <c r="D23">
        <f>C23/L23*100</f>
        <v>0</v>
      </c>
      <c r="E23">
        <f>C23/$C$36*100</f>
        <v>0</v>
      </c>
      <c r="F23">
        <f>C23/$L$36*100</f>
        <v>0</v>
      </c>
      <c r="G23">
        <v>2</v>
      </c>
      <c r="H23">
        <f>G23/L23*100</f>
        <v>100</v>
      </c>
      <c r="I23">
        <f>G23/$G$36*100</f>
        <v>1.6</v>
      </c>
      <c r="J23">
        <f>G23/$L$36*100</f>
        <v>0.25</v>
      </c>
      <c r="K23">
        <f>F23+J23</f>
        <v>0.25</v>
      </c>
      <c r="L23">
        <f>C23+G23</f>
        <v>2</v>
      </c>
      <c r="M23">
        <f>H23-D23</f>
        <v>100</v>
      </c>
      <c r="N23">
        <f>C23/G23</f>
        <v>0</v>
      </c>
    </row>
    <row r="24" spans="1:14">
      <c r="B24" t="s">
        <v>74</v>
      </c>
      <c r="C24">
        <v>1</v>
      </c>
      <c r="D24">
        <f>C24/L24*100</f>
        <v>100</v>
      </c>
      <c r="E24">
        <f>C24/$C$36*100</f>
        <v>0.14814814814815</v>
      </c>
      <c r="F24">
        <f>C24/$L$36*100</f>
        <v>0.125</v>
      </c>
      <c r="G24">
        <v>0</v>
      </c>
      <c r="H24">
        <f>G24/L24*100</f>
        <v>0</v>
      </c>
      <c r="I24">
        <f>G24/$G$36*100</f>
        <v>0</v>
      </c>
      <c r="J24">
        <f>G24/$L$36*100</f>
        <v>0</v>
      </c>
      <c r="K24">
        <f>F24+J24</f>
        <v>0.125</v>
      </c>
      <c r="L24">
        <f>C24+G24</f>
        <v>1</v>
      </c>
      <c r="M24">
        <f>H24-D24</f>
        <v>-100</v>
      </c>
      <c r="N24" t="e">
        <f>C24/G24</f>
        <v>#DIV/0!</v>
      </c>
    </row>
    <row r="25" spans="1:14">
      <c r="B25" t="s">
        <v>75</v>
      </c>
      <c r="C25">
        <v>0</v>
      </c>
      <c r="D25">
        <f>C25/L25*100</f>
        <v>0</v>
      </c>
      <c r="E25">
        <f>C25/$C$36*100</f>
        <v>0</v>
      </c>
      <c r="F25">
        <f>C25/$L$36*100</f>
        <v>0</v>
      </c>
      <c r="G25">
        <v>1</v>
      </c>
      <c r="H25">
        <f>G25/L25*100</f>
        <v>100</v>
      </c>
      <c r="I25">
        <f>G25/$G$36*100</f>
        <v>0.8</v>
      </c>
      <c r="J25">
        <f>G25/$L$36*100</f>
        <v>0.125</v>
      </c>
      <c r="K25">
        <f>F25+J25</f>
        <v>0.125</v>
      </c>
      <c r="L25">
        <f>C25+G25</f>
        <v>1</v>
      </c>
      <c r="M25">
        <f>H25-D25</f>
        <v>100</v>
      </c>
      <c r="N25">
        <f>C25/G25</f>
        <v>0</v>
      </c>
    </row>
    <row r="26" spans="1:14">
      <c r="B26" t="s">
        <v>76</v>
      </c>
      <c r="C26">
        <v>1</v>
      </c>
      <c r="D26">
        <f>C26/L26*100</f>
        <v>100</v>
      </c>
      <c r="E26">
        <f>C26/$C$36*100</f>
        <v>0.14814814814815</v>
      </c>
      <c r="F26">
        <f>C26/$L$36*100</f>
        <v>0.125</v>
      </c>
      <c r="G26">
        <v>0</v>
      </c>
      <c r="H26">
        <f>G26/L26*100</f>
        <v>0</v>
      </c>
      <c r="I26">
        <f>G26/$G$36*100</f>
        <v>0</v>
      </c>
      <c r="J26">
        <f>G26/$L$36*100</f>
        <v>0</v>
      </c>
      <c r="K26">
        <f>F26+J26</f>
        <v>0.125</v>
      </c>
      <c r="L26">
        <f>C26+G26</f>
        <v>1</v>
      </c>
      <c r="M26">
        <f>H26-D26</f>
        <v>-100</v>
      </c>
      <c r="N26" t="e">
        <f>C26/G26</f>
        <v>#DIV/0!</v>
      </c>
    </row>
    <row r="27" spans="1:14">
      <c r="B27" t="s">
        <v>77</v>
      </c>
      <c r="C27">
        <v>1</v>
      </c>
      <c r="D27">
        <f>C27/L27*100</f>
        <v>100</v>
      </c>
      <c r="E27">
        <f>C27/$C$36*100</f>
        <v>0.14814814814815</v>
      </c>
      <c r="F27">
        <f>C27/$L$36*100</f>
        <v>0.125</v>
      </c>
      <c r="G27">
        <v>0</v>
      </c>
      <c r="H27">
        <f>G27/L27*100</f>
        <v>0</v>
      </c>
      <c r="I27">
        <f>G27/$G$36*100</f>
        <v>0</v>
      </c>
      <c r="J27">
        <f>G27/$L$36*100</f>
        <v>0</v>
      </c>
      <c r="K27">
        <f>F27+J27</f>
        <v>0.125</v>
      </c>
      <c r="L27">
        <f>C27+G27</f>
        <v>1</v>
      </c>
      <c r="M27">
        <f>H27-D27</f>
        <v>-100</v>
      </c>
      <c r="N27" t="e">
        <f>C27/G27</f>
        <v>#DIV/0!</v>
      </c>
    </row>
    <row r="28" spans="1:14">
      <c r="B28" t="s">
        <v>78</v>
      </c>
      <c r="C28">
        <v>1</v>
      </c>
      <c r="D28">
        <f>C28/L28*100</f>
        <v>100</v>
      </c>
      <c r="E28">
        <f>C28/$C$36*100</f>
        <v>0.14814814814815</v>
      </c>
      <c r="F28">
        <f>C28/$L$36*100</f>
        <v>0.125</v>
      </c>
      <c r="G28">
        <v>0</v>
      </c>
      <c r="H28">
        <f>G28/L28*100</f>
        <v>0</v>
      </c>
      <c r="I28">
        <f>G28/$G$36*100</f>
        <v>0</v>
      </c>
      <c r="J28">
        <f>G28/$L$36*100</f>
        <v>0</v>
      </c>
      <c r="K28">
        <f>F28+J28</f>
        <v>0.125</v>
      </c>
      <c r="L28">
        <f>C28+G28</f>
        <v>1</v>
      </c>
      <c r="M28">
        <f>H28-D28</f>
        <v>-100</v>
      </c>
      <c r="N28" t="e">
        <f>C28/G28</f>
        <v>#DIV/0!</v>
      </c>
    </row>
    <row r="29" spans="1:14">
      <c r="B29" t="s">
        <v>79</v>
      </c>
      <c r="C29">
        <v>1</v>
      </c>
      <c r="D29">
        <f>C29/L29*100</f>
        <v>100</v>
      </c>
      <c r="E29">
        <f>C29/$C$36*100</f>
        <v>0.14814814814815</v>
      </c>
      <c r="F29">
        <f>C29/$L$36*100</f>
        <v>0.125</v>
      </c>
      <c r="G29">
        <v>0</v>
      </c>
      <c r="H29">
        <f>G29/L29*100</f>
        <v>0</v>
      </c>
      <c r="I29">
        <f>G29/$G$36*100</f>
        <v>0</v>
      </c>
      <c r="J29">
        <f>G29/$L$36*100</f>
        <v>0</v>
      </c>
      <c r="K29">
        <f>F29+J29</f>
        <v>0.125</v>
      </c>
      <c r="L29">
        <f>C29+G29</f>
        <v>1</v>
      </c>
      <c r="M29">
        <f>H29-D29</f>
        <v>-100</v>
      </c>
      <c r="N29" t="e">
        <f>C29/G29</f>
        <v>#DIV/0!</v>
      </c>
    </row>
    <row r="30" spans="1:14">
      <c r="B30" t="s">
        <v>80</v>
      </c>
      <c r="C30">
        <v>1</v>
      </c>
      <c r="D30">
        <f>C30/L30*100</f>
        <v>100</v>
      </c>
      <c r="E30">
        <f>C30/$C$36*100</f>
        <v>0.14814814814815</v>
      </c>
      <c r="F30">
        <f>C30/$L$36*100</f>
        <v>0.125</v>
      </c>
      <c r="G30">
        <v>0</v>
      </c>
      <c r="H30">
        <f>G30/L30*100</f>
        <v>0</v>
      </c>
      <c r="I30">
        <f>G30/$G$36*100</f>
        <v>0</v>
      </c>
      <c r="J30">
        <f>G30/$L$36*100</f>
        <v>0</v>
      </c>
      <c r="K30">
        <f>F30+J30</f>
        <v>0.125</v>
      </c>
      <c r="L30">
        <f>C30+G30</f>
        <v>1</v>
      </c>
      <c r="M30">
        <f>H30-D30</f>
        <v>-100</v>
      </c>
      <c r="N30" t="e">
        <f>C30/G30</f>
        <v>#DIV/0!</v>
      </c>
    </row>
    <row r="31" spans="1:14">
      <c r="B31" t="s">
        <v>81</v>
      </c>
      <c r="C31">
        <v>0</v>
      </c>
      <c r="D31">
        <f>C31/L31*100</f>
        <v>0</v>
      </c>
      <c r="E31">
        <f>C31/$C$36*100</f>
        <v>0</v>
      </c>
      <c r="F31">
        <f>C31/$L$36*100</f>
        <v>0</v>
      </c>
      <c r="G31">
        <v>1</v>
      </c>
      <c r="H31">
        <f>G31/L31*100</f>
        <v>100</v>
      </c>
      <c r="I31">
        <f>G31/$G$36*100</f>
        <v>0.8</v>
      </c>
      <c r="J31">
        <f>G31/$L$36*100</f>
        <v>0.125</v>
      </c>
      <c r="K31">
        <f>F31+J31</f>
        <v>0.125</v>
      </c>
      <c r="L31">
        <f>C31+G31</f>
        <v>1</v>
      </c>
      <c r="M31">
        <f>H31-D31</f>
        <v>100</v>
      </c>
      <c r="N31">
        <f>C31/G31</f>
        <v>0</v>
      </c>
    </row>
    <row r="32" spans="1:14">
      <c r="B32" t="s">
        <v>82</v>
      </c>
      <c r="C32">
        <v>0</v>
      </c>
      <c r="D32">
        <f>C32/L32*100</f>
        <v>0</v>
      </c>
      <c r="E32">
        <f>C32/$C$36*100</f>
        <v>0</v>
      </c>
      <c r="F32">
        <f>C32/$L$36*100</f>
        <v>0</v>
      </c>
      <c r="G32">
        <v>1</v>
      </c>
      <c r="H32">
        <f>G32/L32*100</f>
        <v>100</v>
      </c>
      <c r="I32">
        <f>G32/$G$36*100</f>
        <v>0.8</v>
      </c>
      <c r="J32">
        <f>G32/$L$36*100</f>
        <v>0.125</v>
      </c>
      <c r="K32">
        <f>F32+J32</f>
        <v>0.125</v>
      </c>
      <c r="L32">
        <f>C32+G32</f>
        <v>1</v>
      </c>
      <c r="M32">
        <f>H32-D32</f>
        <v>100</v>
      </c>
      <c r="N32">
        <f>C32/G32</f>
        <v>0</v>
      </c>
    </row>
    <row r="33" spans="1:14">
      <c r="B33" t="s">
        <v>83</v>
      </c>
      <c r="C33">
        <v>1</v>
      </c>
      <c r="D33">
        <f>C33/L33*100</f>
        <v>100</v>
      </c>
      <c r="E33">
        <f>C33/$C$36*100</f>
        <v>0.14814814814815</v>
      </c>
      <c r="F33">
        <f>C33/$L$36*100</f>
        <v>0.125</v>
      </c>
      <c r="G33">
        <v>0</v>
      </c>
      <c r="H33">
        <f>G33/L33*100</f>
        <v>0</v>
      </c>
      <c r="I33">
        <f>G33/$G$36*100</f>
        <v>0</v>
      </c>
      <c r="J33">
        <f>G33/$L$36*100</f>
        <v>0</v>
      </c>
      <c r="K33">
        <f>F33+J33</f>
        <v>0.125</v>
      </c>
      <c r="L33">
        <f>C33+G33</f>
        <v>1</v>
      </c>
      <c r="M33">
        <f>H33-D33</f>
        <v>-100</v>
      </c>
      <c r="N33" t="e">
        <f>C33/G33</f>
        <v>#DIV/0!</v>
      </c>
    </row>
    <row r="34" spans="1:14">
      <c r="B34" t="s">
        <v>84</v>
      </c>
      <c r="C34">
        <v>1</v>
      </c>
      <c r="D34">
        <f>C34/L34*100</f>
        <v>100</v>
      </c>
      <c r="E34">
        <f>C34/$C$36*100</f>
        <v>0.14814814814815</v>
      </c>
      <c r="F34">
        <f>C34/$L$36*100</f>
        <v>0.125</v>
      </c>
      <c r="G34">
        <v>0</v>
      </c>
      <c r="H34">
        <f>G34/L34*100</f>
        <v>0</v>
      </c>
      <c r="I34">
        <f>G34/$G$36*100</f>
        <v>0</v>
      </c>
      <c r="J34">
        <f>G34/$L$36*100</f>
        <v>0</v>
      </c>
      <c r="K34">
        <f>F34+J34</f>
        <v>0.125</v>
      </c>
      <c r="L34">
        <f>C34+G34</f>
        <v>1</v>
      </c>
      <c r="M34">
        <f>H34-D34</f>
        <v>-100</v>
      </c>
      <c r="N34" t="e">
        <f>C34/G34</f>
        <v>#DIV/0!</v>
      </c>
    </row>
    <row r="35" spans="1:14">
      <c r="B35" t="s">
        <v>85</v>
      </c>
      <c r="C35">
        <v>1</v>
      </c>
      <c r="D35">
        <f>C35/L35*100</f>
        <v>100</v>
      </c>
      <c r="E35">
        <f>C35/$C$36*100</f>
        <v>0.14814814814815</v>
      </c>
      <c r="F35">
        <f>C35/$L$36*100</f>
        <v>0.125</v>
      </c>
      <c r="G35">
        <v>0</v>
      </c>
      <c r="H35">
        <f>G35/L35*100</f>
        <v>0</v>
      </c>
      <c r="I35">
        <f>G35/$G$36*100</f>
        <v>0</v>
      </c>
      <c r="J35">
        <f>G35/$L$36*100</f>
        <v>0</v>
      </c>
      <c r="K35">
        <f>F35+J35</f>
        <v>0.125</v>
      </c>
      <c r="L35">
        <f>C35+G35</f>
        <v>1</v>
      </c>
      <c r="M35">
        <f>H35-D35</f>
        <v>-100</v>
      </c>
      <c r="N35" t="e">
        <f>C35/G35</f>
        <v>#DIV/0!</v>
      </c>
    </row>
    <row r="36" spans="1:14">
      <c r="B36" t="s">
        <v>0</v>
      </c>
      <c r="C36">
        <f>SUM(C3:C35)</f>
        <v>675</v>
      </c>
      <c r="G36">
        <f>SUM(G3:G35)</f>
        <v>125</v>
      </c>
      <c r="L36">
        <f>SUM(L3:L35)</f>
        <v>800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3"/>
  <sheetViews>
    <sheetView tabSelected="0" workbookViewId="0" showGridLines="true" showRowColHeaders="1">
      <selection activeCell="K11" sqref="K11"/>
    </sheetView>
  </sheetViews>
  <sheetFormatPr defaultRowHeight="14.4" outlineLevelRow="0" outlineLevelCol="0"/>
  <cols>
    <col min="1" max="1" width="4.5703125" customWidth="true" style="0"/>
  </cols>
  <sheetData>
    <row r="2" spans="1:14" customHeight="1" ht="45">
      <c r="B2" s="11" t="s">
        <v>86</v>
      </c>
      <c r="C2" s="11" t="s">
        <v>1</v>
      </c>
      <c r="D2" s="11" t="s">
        <v>2</v>
      </c>
      <c r="E2" s="11" t="s">
        <v>9</v>
      </c>
      <c r="F2" s="11" t="s">
        <v>10</v>
      </c>
      <c r="G2" s="11" t="s">
        <v>3</v>
      </c>
      <c r="H2" s="11" t="s">
        <v>2</v>
      </c>
      <c r="I2" s="11" t="s">
        <v>9</v>
      </c>
      <c r="J2" s="11" t="s">
        <v>11</v>
      </c>
      <c r="K2" s="11" t="s">
        <v>12</v>
      </c>
      <c r="L2" s="11" t="s">
        <v>4</v>
      </c>
      <c r="M2" s="11" t="s">
        <v>5</v>
      </c>
      <c r="N2" s="11" t="s">
        <v>6</v>
      </c>
    </row>
    <row r="3" spans="1:14">
      <c r="B3" s="5" t="s">
        <v>0</v>
      </c>
      <c r="C3" s="2">
        <f>SUM(C3:C2)</f>
        <v>0</v>
      </c>
      <c r="D3" s="2" t="e">
        <f>C3/L3*100</f>
        <v>#DIV/0!</v>
      </c>
      <c r="E3" s="2" t="e">
        <f>C3/$C$13*100</f>
        <v>#DIV/0!</v>
      </c>
      <c r="F3" s="2" t="e">
        <f>C3/$L$13*100</f>
        <v>#DIV/0!</v>
      </c>
      <c r="G3" s="2">
        <f>SUM(G3:G2)</f>
        <v>0</v>
      </c>
      <c r="H3" s="2" t="e">
        <f>G3/L3*100</f>
        <v>#DIV/0!</v>
      </c>
      <c r="I3" s="2" t="e">
        <f>G3/$G$13*100</f>
        <v>#DIV/0!</v>
      </c>
      <c r="J3" s="2" t="e">
        <f>G3/$L$13*100</f>
        <v>#DIV/0!</v>
      </c>
      <c r="K3" s="2" t="e">
        <f>F3+J3</f>
        <v>#DIV/0!</v>
      </c>
      <c r="L3" s="2">
        <f>SUM(L3:L2)</f>
        <v>0</v>
      </c>
      <c r="M3" s="2" t="e">
        <f>H3-D3</f>
        <v>#DIV/0!</v>
      </c>
      <c r="N3" s="2" t="e">
        <f>C3/G3</f>
        <v>#DIV/0!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6"/>
  <sheetViews>
    <sheetView tabSelected="0" workbookViewId="0" showGridLines="true" showRowColHeaders="1">
      <selection activeCell="E8" sqref="E8"/>
    </sheetView>
  </sheetViews>
  <sheetFormatPr defaultRowHeight="14.4" outlineLevelRow="0" outlineLevelCol="0"/>
  <cols>
    <col min="1" max="1" width="4.85546875" customWidth="true" style="0"/>
    <col min="2" max="2" width="13.42578125" customWidth="true" style="0"/>
  </cols>
  <sheetData>
    <row r="2" spans="1:14" customHeight="1" ht="45">
      <c r="B2" s="11" t="s">
        <v>87</v>
      </c>
      <c r="C2" s="11" t="s">
        <v>1</v>
      </c>
      <c r="D2" s="11" t="s">
        <v>2</v>
      </c>
      <c r="E2" s="11" t="s">
        <v>9</v>
      </c>
      <c r="F2" s="11" t="s">
        <v>10</v>
      </c>
      <c r="G2" s="11" t="s">
        <v>3</v>
      </c>
      <c r="H2" s="11" t="s">
        <v>2</v>
      </c>
      <c r="I2" s="11" t="s">
        <v>9</v>
      </c>
      <c r="J2" s="11" t="s">
        <v>11</v>
      </c>
      <c r="K2" s="11" t="s">
        <v>12</v>
      </c>
      <c r="L2" s="11" t="s">
        <v>4</v>
      </c>
      <c r="M2" s="11" t="s">
        <v>5</v>
      </c>
      <c r="N2" s="11" t="s">
        <v>6</v>
      </c>
    </row>
    <row r="3" spans="1:14">
      <c r="B3" t="s">
        <v>88</v>
      </c>
      <c r="C3">
        <v>518</v>
      </c>
      <c r="D3">
        <f>C3/L3*100</f>
        <v>85.057471264367805</v>
      </c>
      <c r="E3">
        <f>C3/$C$6*100</f>
        <v>76.74074074074075</v>
      </c>
      <c r="F3">
        <f>C3/$L$6*100</f>
        <v>64.75</v>
      </c>
      <c r="G3">
        <v>91</v>
      </c>
      <c r="H3">
        <f>G3/L3*100</f>
        <v>14.94252873563219</v>
      </c>
      <c r="I3">
        <f>G3/$G$6*100</f>
        <v>72.8</v>
      </c>
      <c r="J3">
        <f>G3/$L$6*100</f>
        <v>11.375</v>
      </c>
      <c r="K3">
        <f>F3+J3</f>
        <v>76.125</v>
      </c>
      <c r="L3">
        <f>C3+G3</f>
        <v>609</v>
      </c>
      <c r="M3">
        <f>H3-D3</f>
        <v>-70.11494252873563</v>
      </c>
      <c r="N3">
        <f>C3/G3</f>
        <v>5.69230769230769</v>
      </c>
    </row>
    <row r="4" spans="1:14">
      <c r="B4" t="s">
        <v>89</v>
      </c>
      <c r="C4">
        <v>133</v>
      </c>
      <c r="D4">
        <f>C4/L4*100</f>
        <v>83.125</v>
      </c>
      <c r="E4">
        <f>C4/$C$6*100</f>
        <v>19.7037037037037</v>
      </c>
      <c r="F4">
        <f>C4/$L$6*100</f>
        <v>16.625</v>
      </c>
      <c r="G4">
        <v>27</v>
      </c>
      <c r="H4">
        <f>G4/L4*100</f>
        <v>16.875</v>
      </c>
      <c r="I4">
        <f>G4/$G$6*100</f>
        <v>21.6</v>
      </c>
      <c r="J4">
        <f>G4/$L$6*100</f>
        <v>3.375</v>
      </c>
      <c r="K4">
        <f>F4+J4</f>
        <v>20</v>
      </c>
      <c r="L4">
        <f>C4+G4</f>
        <v>160</v>
      </c>
      <c r="M4">
        <f>H4-D4</f>
        <v>-66.25</v>
      </c>
      <c r="N4">
        <f>C4/G4</f>
        <v>4.92592592592593</v>
      </c>
    </row>
    <row r="5" spans="1:14">
      <c r="B5" t="s">
        <v>90</v>
      </c>
      <c r="C5">
        <v>24</v>
      </c>
      <c r="D5">
        <f>C5/L5*100</f>
        <v>77.41935483870968</v>
      </c>
      <c r="E5">
        <f>C5/$C$6*100</f>
        <v>3.55555555555556</v>
      </c>
      <c r="F5">
        <f>C5/$L$6*100</f>
        <v>3</v>
      </c>
      <c r="G5">
        <v>7</v>
      </c>
      <c r="H5">
        <f>G5/L5*100</f>
        <v>22.58064516129032</v>
      </c>
      <c r="I5">
        <f>G5/$G$6*100</f>
        <v>5.6</v>
      </c>
      <c r="J5">
        <f>G5/$L$6*100</f>
        <v>0.875</v>
      </c>
      <c r="K5">
        <f>F5+J5</f>
        <v>3.875</v>
      </c>
      <c r="L5">
        <f>C5+G5</f>
        <v>31</v>
      </c>
      <c r="M5">
        <f>H5-D5</f>
        <v>-54.83870967741936</v>
      </c>
      <c r="N5">
        <f>C5/G5</f>
        <v>3.42857142857143</v>
      </c>
    </row>
    <row r="6" spans="1:14">
      <c r="B6" t="s">
        <v>0</v>
      </c>
      <c r="C6">
        <f>SUM(C3:C5)</f>
        <v>675</v>
      </c>
      <c r="G6">
        <f>SUM(G3:G5)</f>
        <v>125</v>
      </c>
      <c r="L6">
        <f>SUM(L3:L5)</f>
        <v>800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5"/>
  <sheetViews>
    <sheetView tabSelected="0" workbookViewId="0" showGridLines="true" showRowColHeaders="1">
      <selection activeCell="F5" sqref="F5"/>
    </sheetView>
  </sheetViews>
  <sheetFormatPr defaultRowHeight="14.4" outlineLevelRow="0" outlineLevelCol="0"/>
  <cols>
    <col min="1" max="1" width="5.28515625" customWidth="true" style="0"/>
  </cols>
  <sheetData>
    <row r="3" spans="1:14" customHeight="1" ht="45">
      <c r="B3" s="11" t="s">
        <v>91</v>
      </c>
      <c r="C3" s="11" t="s">
        <v>1</v>
      </c>
      <c r="D3" s="11" t="s">
        <v>2</v>
      </c>
      <c r="E3" s="11" t="s">
        <v>9</v>
      </c>
      <c r="F3" s="11" t="s">
        <v>10</v>
      </c>
      <c r="G3" s="11" t="s">
        <v>3</v>
      </c>
      <c r="H3" s="11" t="s">
        <v>2</v>
      </c>
      <c r="I3" s="11" t="s">
        <v>9</v>
      </c>
      <c r="J3" s="11" t="s">
        <v>11</v>
      </c>
      <c r="K3" s="11" t="s">
        <v>12</v>
      </c>
      <c r="L3" s="11" t="s">
        <v>4</v>
      </c>
      <c r="M3" s="11" t="s">
        <v>5</v>
      </c>
      <c r="N3" s="11" t="s">
        <v>6</v>
      </c>
    </row>
    <row r="4" spans="1:14">
      <c r="B4" s="5" t="s">
        <v>92</v>
      </c>
      <c r="C4" s="2"/>
      <c r="D4" s="2" t="e">
        <f>C4/L4*100</f>
        <v>#DIV/0!</v>
      </c>
      <c r="E4" s="2" t="e">
        <f>C4/$C$8*100</f>
        <v>#DIV/0!</v>
      </c>
      <c r="F4" s="2" t="e">
        <f>C4/$L$8*100</f>
        <v>#DIV/0!</v>
      </c>
      <c r="G4" s="2"/>
      <c r="H4" s="2" t="e">
        <f>G4/L4*100</f>
        <v>#DIV/0!</v>
      </c>
      <c r="I4" s="2" t="e">
        <f>G4/$G$8*100</f>
        <v>#DIV/0!</v>
      </c>
      <c r="J4" s="2" t="e">
        <f>G4/$L$8*100</f>
        <v>#DIV/0!</v>
      </c>
      <c r="K4" s="2" t="e">
        <f>F4+J4</f>
        <v>#DIV/0!</v>
      </c>
      <c r="L4" s="2">
        <f>C4+G4</f>
        <v>0</v>
      </c>
      <c r="M4" s="2" t="e">
        <f>H4-D4</f>
        <v>#DIV/0!</v>
      </c>
      <c r="N4" s="2" t="e">
        <f>C4/G4</f>
        <v>#DIV/0!</v>
      </c>
    </row>
    <row r="5" spans="1:14">
      <c r="B5" s="5" t="s">
        <v>93</v>
      </c>
      <c r="C5" s="2"/>
      <c r="D5" s="2" t="e">
        <f>C5/L5*100</f>
        <v>#DIV/0!</v>
      </c>
      <c r="E5" s="2" t="e">
        <f>C5/$C$8*100</f>
        <v>#DIV/0!</v>
      </c>
      <c r="F5" s="2" t="e">
        <f>C5/$L$8*100</f>
        <v>#DIV/0!</v>
      </c>
      <c r="G5" s="2"/>
      <c r="H5" s="2" t="e">
        <f>G5/L5*100</f>
        <v>#DIV/0!</v>
      </c>
      <c r="I5" s="2" t="e">
        <f>G5/$G$8*100</f>
        <v>#DIV/0!</v>
      </c>
      <c r="J5" s="2" t="e">
        <f>G5/$L$8*100</f>
        <v>#DIV/0!</v>
      </c>
      <c r="K5" s="2" t="e">
        <f>F5+J5</f>
        <v>#DIV/0!</v>
      </c>
      <c r="L5" s="2">
        <f>C5+G5</f>
        <v>0</v>
      </c>
      <c r="M5" s="2" t="e">
        <f>H5-D5</f>
        <v>#DIV/0!</v>
      </c>
      <c r="N5" s="2" t="e">
        <f>C5/G5</f>
        <v>#DIV/0!</v>
      </c>
    </row>
    <row r="6" spans="1:14">
      <c r="B6" s="5" t="s">
        <v>94</v>
      </c>
      <c r="C6" s="2"/>
      <c r="D6" s="2" t="e">
        <f>C6/L6*100</f>
        <v>#DIV/0!</v>
      </c>
      <c r="E6" s="2" t="e">
        <f>C6/$C$8*100</f>
        <v>#DIV/0!</v>
      </c>
      <c r="F6" s="2" t="e">
        <f>C6/$L$8*100</f>
        <v>#DIV/0!</v>
      </c>
      <c r="G6" s="2"/>
      <c r="H6" s="2" t="e">
        <f>G6/L6*100</f>
        <v>#DIV/0!</v>
      </c>
      <c r="I6" s="2" t="e">
        <f>G6/$G$8*100</f>
        <v>#DIV/0!</v>
      </c>
      <c r="J6" s="2" t="e">
        <f>G6/$L$8*100</f>
        <v>#DIV/0!</v>
      </c>
      <c r="K6" s="2" t="e">
        <f>F6+J6</f>
        <v>#DIV/0!</v>
      </c>
      <c r="L6" s="2">
        <f>C6+G6</f>
        <v>0</v>
      </c>
      <c r="M6" s="2" t="e">
        <f>H6-D6</f>
        <v>#DIV/0!</v>
      </c>
      <c r="N6" s="2" t="e">
        <f>C6/G6</f>
        <v>#DIV/0!</v>
      </c>
    </row>
    <row r="7" spans="1:14">
      <c r="B7" s="5" t="s">
        <v>95</v>
      </c>
      <c r="C7" s="2"/>
      <c r="D7" s="2" t="e">
        <f>C7/L7*100</f>
        <v>#DIV/0!</v>
      </c>
      <c r="E7" s="2" t="e">
        <f>C7/$C$8*100</f>
        <v>#DIV/0!</v>
      </c>
      <c r="F7" s="2" t="e">
        <f>C7/$L$8*100</f>
        <v>#DIV/0!</v>
      </c>
      <c r="G7" s="2"/>
      <c r="H7" s="2" t="e">
        <f>G7/L7*100</f>
        <v>#DIV/0!</v>
      </c>
      <c r="I7" s="2" t="e">
        <f>G7/$G$8*100</f>
        <v>#DIV/0!</v>
      </c>
      <c r="J7" s="2" t="e">
        <f>G7/$L$8*100</f>
        <v>#DIV/0!</v>
      </c>
      <c r="K7" s="2" t="e">
        <f>F7+J7</f>
        <v>#DIV/0!</v>
      </c>
      <c r="L7" s="2">
        <f>C7+G7</f>
        <v>0</v>
      </c>
      <c r="M7" s="2" t="e">
        <f>H7-D7</f>
        <v>#DIV/0!</v>
      </c>
      <c r="N7" s="2" t="e">
        <f>C7/G7</f>
        <v>#DIV/0!</v>
      </c>
    </row>
    <row r="8" spans="1:14">
      <c r="C8" s="2">
        <f>SUM(C4:C7)</f>
        <v>0</v>
      </c>
      <c r="D8" s="2"/>
      <c r="E8" s="2" t="e">
        <f>SUM(E4:E7)</f>
        <v>#DIV/0!</v>
      </c>
      <c r="F8" s="2" t="e">
        <f>SUM(F4:F7)</f>
        <v>#DIV/0!</v>
      </c>
      <c r="G8" s="2">
        <f>SUM(G4:G7)</f>
        <v>0</v>
      </c>
      <c r="H8" s="2"/>
      <c r="I8" s="2" t="e">
        <f>SUM(I4:I7)</f>
        <v>#DIV/0!</v>
      </c>
      <c r="J8" s="2" t="e">
        <f>SUM(J4:J7)</f>
        <v>#DIV/0!</v>
      </c>
      <c r="K8" s="2" t="e">
        <f>SUM(K4:K7)</f>
        <v>#DIV/0!</v>
      </c>
      <c r="L8" s="2">
        <f>SUM(L4:L7)</f>
        <v>0</v>
      </c>
      <c r="M8" s="2"/>
      <c r="N8" s="2"/>
    </row>
    <row r="11" spans="1:14">
      <c r="D11" s="12" t="s">
        <v>1</v>
      </c>
      <c r="E11" s="12" t="s">
        <v>3</v>
      </c>
    </row>
    <row r="12" spans="1:14">
      <c r="C12" s="5" t="s">
        <v>92</v>
      </c>
      <c r="D12" s="4">
        <f>C4</f>
        <v>0</v>
      </c>
      <c r="E12" s="4">
        <f>G4</f>
        <v>0</v>
      </c>
    </row>
    <row r="13" spans="1:14">
      <c r="C13" s="5" t="s">
        <v>93</v>
      </c>
      <c r="D13" s="4">
        <f>C5</f>
        <v>0</v>
      </c>
      <c r="E13" s="4">
        <f>G5</f>
        <v>0</v>
      </c>
    </row>
    <row r="14" spans="1:14">
      <c r="C14" s="5" t="s">
        <v>94</v>
      </c>
      <c r="D14" s="4">
        <f>C6</f>
        <v>0</v>
      </c>
      <c r="E14" s="4">
        <f>G6</f>
        <v>0</v>
      </c>
    </row>
    <row r="15" spans="1:14">
      <c r="C15" s="5" t="s">
        <v>95</v>
      </c>
      <c r="D15" s="4">
        <f>C7</f>
        <v>0</v>
      </c>
      <c r="E15" s="4">
        <f>G7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4"/>
  <sheetViews>
    <sheetView tabSelected="0" workbookViewId="0" showGridLines="true" showRowColHeaders="1">
      <selection activeCell="J4" sqref="J4"/>
    </sheetView>
  </sheetViews>
  <sheetFormatPr defaultRowHeight="14.4" outlineLevelRow="0" outlineLevelCol="0"/>
  <cols>
    <col min="1" max="1" width="5.5703125" customWidth="true" style="0"/>
  </cols>
  <sheetData>
    <row r="2" spans="1:14" customHeight="1" ht="45">
      <c r="B2" s="11" t="s">
        <v>96</v>
      </c>
      <c r="C2" s="11" t="s">
        <v>1</v>
      </c>
      <c r="D2" s="11" t="s">
        <v>2</v>
      </c>
      <c r="E2" s="11" t="s">
        <v>9</v>
      </c>
      <c r="F2" s="11" t="s">
        <v>10</v>
      </c>
      <c r="G2" s="11" t="s">
        <v>3</v>
      </c>
      <c r="H2" s="11" t="s">
        <v>2</v>
      </c>
      <c r="I2" s="11" t="s">
        <v>9</v>
      </c>
      <c r="J2" s="11" t="s">
        <v>11</v>
      </c>
      <c r="K2" s="11" t="s">
        <v>12</v>
      </c>
      <c r="L2" s="11" t="s">
        <v>4</v>
      </c>
      <c r="M2" s="11" t="s">
        <v>5</v>
      </c>
      <c r="N2" s="11" t="s">
        <v>6</v>
      </c>
    </row>
    <row r="3" spans="1:14">
      <c r="B3" s="5" t="s">
        <v>97</v>
      </c>
      <c r="C3" s="2">
        <v>376</v>
      </c>
      <c r="D3" s="2">
        <f>C3/L3*100</f>
        <v>79.49260042283298</v>
      </c>
      <c r="E3" s="2">
        <f>C3/$C$7*100</f>
        <v>55.7037037037037</v>
      </c>
      <c r="F3" s="2">
        <f>C3/$L$7*100</f>
        <v>47</v>
      </c>
      <c r="G3" s="2">
        <v>97</v>
      </c>
      <c r="H3" s="2">
        <f>G3/L3*100</f>
        <v>20.50739957716702</v>
      </c>
      <c r="I3" s="2">
        <f>G3/$G$7*100</f>
        <v>77.60000000000001</v>
      </c>
      <c r="J3" s="2">
        <f>G3/$L$7*100</f>
        <v>12.125</v>
      </c>
      <c r="K3" s="2">
        <f>F3+J3</f>
        <v>59.125</v>
      </c>
      <c r="L3" s="2">
        <f>C3+G3</f>
        <v>473</v>
      </c>
      <c r="M3" s="2">
        <f>H3-D3</f>
        <v>-58.98520084566596</v>
      </c>
      <c r="N3" s="2">
        <f>C3/G3</f>
        <v>3.87628865979381</v>
      </c>
    </row>
    <row r="4" spans="1:14">
      <c r="B4" s="5" t="s">
        <v>98</v>
      </c>
      <c r="C4" s="2">
        <v>148</v>
      </c>
      <c r="D4" s="2">
        <f>C4/L4*100</f>
        <v>89.1566265060241</v>
      </c>
      <c r="E4" s="2">
        <f>C4/$C$7*100</f>
        <v>21.92592592592593</v>
      </c>
      <c r="F4" s="2">
        <f>C4/$L$7*100</f>
        <v>18.5</v>
      </c>
      <c r="G4" s="2">
        <v>18</v>
      </c>
      <c r="H4" s="2">
        <f>G4/L4*100</f>
        <v>10.8433734939759</v>
      </c>
      <c r="I4" s="2">
        <f>G4/$G$7*100</f>
        <v>14.4</v>
      </c>
      <c r="J4" s="2">
        <f>G4/$L$7*100</f>
        <v>2.25</v>
      </c>
      <c r="K4" s="2">
        <f>F4+J4</f>
        <v>20.75</v>
      </c>
      <c r="L4" s="2">
        <f>C4+G4</f>
        <v>166</v>
      </c>
      <c r="M4" s="2">
        <f>H4-D4</f>
        <v>-78.31325301204819</v>
      </c>
      <c r="N4" s="2">
        <f>C4/G4</f>
        <v>8.22222222222222</v>
      </c>
    </row>
    <row r="5" spans="1:14">
      <c r="B5" s="5" t="s">
        <v>99</v>
      </c>
      <c r="C5" s="2">
        <v>122</v>
      </c>
      <c r="D5" s="2">
        <f>C5/L5*100</f>
        <v>93.12977099236642</v>
      </c>
      <c r="E5" s="2">
        <f>C5/$C$7*100</f>
        <v>18.074074074074073</v>
      </c>
      <c r="F5" s="2">
        <f>C5/$L$7*100</f>
        <v>15.25</v>
      </c>
      <c r="G5" s="2">
        <v>9</v>
      </c>
      <c r="H5" s="2">
        <f>G5/L5*100</f>
        <v>6.87022900763359</v>
      </c>
      <c r="I5" s="2">
        <f>G5/$G$7*100</f>
        <v>7.2</v>
      </c>
      <c r="J5" s="2">
        <f>G5/$L$7*100</f>
        <v>1.125</v>
      </c>
      <c r="K5" s="2">
        <f>F5+J5</f>
        <v>16.375</v>
      </c>
      <c r="L5" s="2">
        <f>C5+G5</f>
        <v>131</v>
      </c>
      <c r="M5" s="2">
        <f>H5-D5</f>
        <v>-86.25954198473283</v>
      </c>
      <c r="N5" s="2">
        <f>C5/G5</f>
        <v>13.55555555555556</v>
      </c>
    </row>
    <row r="6" spans="1:14" customHeight="1" ht="26.25">
      <c r="B6" s="5" t="s">
        <v>100</v>
      </c>
      <c r="C6" s="2">
        <v>29</v>
      </c>
      <c r="D6" s="2">
        <f>C6/L6*100</f>
        <v>96.66666666666667</v>
      </c>
      <c r="E6" s="2">
        <f>C6/$C$7*100</f>
        <v>4.2962962962963</v>
      </c>
      <c r="F6" s="2">
        <f>C6/$L$7*100</f>
        <v>3.625</v>
      </c>
      <c r="G6" s="2">
        <v>1</v>
      </c>
      <c r="H6" s="2">
        <f>G6/L6*100</f>
        <v>3.33333333333333</v>
      </c>
      <c r="I6" s="2">
        <f>G6/$G$7*100</f>
        <v>0.8</v>
      </c>
      <c r="J6" s="2">
        <f>G6/$L$7*100</f>
        <v>0.125</v>
      </c>
      <c r="K6" s="2">
        <f>F6+J6</f>
        <v>3.75</v>
      </c>
      <c r="L6" s="2">
        <f>C6+G6</f>
        <v>30</v>
      </c>
      <c r="M6" s="2">
        <f>H6-D6</f>
        <v>-93.33333333333334</v>
      </c>
      <c r="N6" s="2">
        <f>C6/G6</f>
        <v>29</v>
      </c>
    </row>
    <row r="7" spans="1:14">
      <c r="C7" s="2">
        <f>SUM(C3:C6)</f>
        <v>675</v>
      </c>
      <c r="D7" s="2"/>
      <c r="E7" s="2">
        <f>SUM(E3:E6)</f>
        <v>100</v>
      </c>
      <c r="F7" s="2">
        <f>SUM(F3:F6)</f>
        <v>84.375</v>
      </c>
      <c r="G7" s="2">
        <f>SUM(G3:G6)</f>
        <v>125</v>
      </c>
      <c r="H7" s="2"/>
      <c r="I7" s="2">
        <f>SUM(I3:I6)</f>
        <v>100</v>
      </c>
      <c r="J7" s="2">
        <f>SUM(J3:J6)</f>
        <v>15.625</v>
      </c>
      <c r="K7" s="2">
        <f>SUM(K3:K6)</f>
        <v>100</v>
      </c>
      <c r="L7" s="2">
        <f>SUM(L3:L6)</f>
        <v>800</v>
      </c>
      <c r="M7" s="2"/>
      <c r="N7" s="2"/>
    </row>
    <row r="10" spans="1:14">
      <c r="D10" s="12" t="s">
        <v>1</v>
      </c>
      <c r="E10" s="12" t="s">
        <v>3</v>
      </c>
    </row>
    <row r="11" spans="1:14">
      <c r="C11" s="5" t="s">
        <v>97</v>
      </c>
      <c r="D11" s="4">
        <f>C3</f>
        <v>376</v>
      </c>
      <c r="E11" s="4">
        <f>G3</f>
        <v>97</v>
      </c>
    </row>
    <row r="12" spans="1:14">
      <c r="C12" s="5" t="s">
        <v>98</v>
      </c>
      <c r="D12" s="4">
        <f>C4</f>
        <v>148</v>
      </c>
      <c r="E12" s="4">
        <f>G4</f>
        <v>18</v>
      </c>
    </row>
    <row r="13" spans="1:14">
      <c r="C13" s="5" t="s">
        <v>99</v>
      </c>
      <c r="D13" s="4">
        <f>C5</f>
        <v>122</v>
      </c>
      <c r="E13" s="4">
        <f>G5</f>
        <v>9</v>
      </c>
    </row>
    <row r="14" spans="1:14" customHeight="1" ht="26.25">
      <c r="C14" s="5" t="s">
        <v>100</v>
      </c>
      <c r="D14" s="4">
        <f>C6</f>
        <v>29</v>
      </c>
      <c r="E14" s="4">
        <f>G6</f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37"/>
  <sheetViews>
    <sheetView tabSelected="0" workbookViewId="0" showGridLines="true" showRowColHeaders="1" topLeftCell="A22">
      <selection activeCell="C31" sqref="C31:E37"/>
    </sheetView>
  </sheetViews>
  <sheetFormatPr defaultRowHeight="14.4" outlineLevelRow="0" outlineLevelCol="0"/>
  <cols>
    <col min="1" max="1" width="6" customWidth="true" style="0"/>
  </cols>
  <sheetData>
    <row r="2" spans="1:14" customHeight="1" ht="45">
      <c r="B2" s="11" t="s">
        <v>101</v>
      </c>
      <c r="C2" s="11" t="s">
        <v>1</v>
      </c>
      <c r="D2" s="11" t="s">
        <v>2</v>
      </c>
      <c r="E2" s="11" t="s">
        <v>9</v>
      </c>
      <c r="F2" s="11" t="s">
        <v>10</v>
      </c>
      <c r="G2" s="11" t="s">
        <v>3</v>
      </c>
      <c r="H2" s="11" t="s">
        <v>2</v>
      </c>
      <c r="I2" s="11" t="s">
        <v>9</v>
      </c>
      <c r="J2" s="11" t="s">
        <v>11</v>
      </c>
      <c r="K2" s="11" t="s">
        <v>12</v>
      </c>
      <c r="L2" s="11" t="s">
        <v>4</v>
      </c>
      <c r="M2" s="11" t="s">
        <v>5</v>
      </c>
      <c r="N2" s="11" t="s">
        <v>6</v>
      </c>
    </row>
    <row r="3" spans="1:14" customHeight="1" ht="26.25">
      <c r="B3" s="5" t="s">
        <v>102</v>
      </c>
      <c r="C3" s="2"/>
      <c r="D3" s="2" t="e">
        <f>C3/L3*100</f>
        <v>#DIV/0!</v>
      </c>
      <c r="E3" s="2" t="e">
        <f>C3/$C$7*100</f>
        <v>#DIV/0!</v>
      </c>
      <c r="F3" s="2" t="e">
        <f>C3/$L$7*100</f>
        <v>#DIV/0!</v>
      </c>
      <c r="G3" s="2"/>
      <c r="H3" s="2" t="e">
        <f>G3/$L$7*100</f>
        <v>#DIV/0!</v>
      </c>
      <c r="I3" s="2" t="e">
        <f>G3/$G$7*100</f>
        <v>#DIV/0!</v>
      </c>
      <c r="J3" s="2" t="e">
        <f>G3/$L$7*100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1:14" customHeight="1" ht="26.25">
      <c r="B4" s="5" t="s">
        <v>103</v>
      </c>
      <c r="C4" s="2"/>
      <c r="D4" s="2" t="e">
        <f>C4/L4*100</f>
        <v>#DIV/0!</v>
      </c>
      <c r="E4" s="2" t="e">
        <f>C4/$C$7*100</f>
        <v>#DIV/0!</v>
      </c>
      <c r="F4" s="2" t="e">
        <f>C4/$L$7*100</f>
        <v>#DIV/0!</v>
      </c>
      <c r="G4" s="2"/>
      <c r="H4" s="2" t="e">
        <f>G4/$L$7*100</f>
        <v>#DIV/0!</v>
      </c>
      <c r="I4" s="2" t="e">
        <f>G4/$G$7*100</f>
        <v>#DIV/0!</v>
      </c>
      <c r="J4" s="2" t="e">
        <f>G4/$L$7*100</f>
        <v>#DIV/0!</v>
      </c>
      <c r="K4" s="2" t="e">
        <f>F4+J4</f>
        <v>#DIV/0!</v>
      </c>
      <c r="L4" s="2">
        <f>C4+G4</f>
        <v>0</v>
      </c>
      <c r="M4" s="2" t="e">
        <f>H4-D4</f>
        <v>#DIV/0!</v>
      </c>
      <c r="N4" s="2" t="e">
        <f>C4/G4</f>
        <v>#DIV/0!</v>
      </c>
    </row>
    <row r="5" spans="1:14" customHeight="1" ht="26.25">
      <c r="B5" s="5" t="s">
        <v>104</v>
      </c>
      <c r="C5" s="2"/>
      <c r="D5" s="2" t="e">
        <f>C5/L5*100</f>
        <v>#DIV/0!</v>
      </c>
      <c r="E5" s="2" t="e">
        <f>C5/$C$7*100</f>
        <v>#DIV/0!</v>
      </c>
      <c r="F5" s="2" t="e">
        <f>C5/$L$7*100</f>
        <v>#DIV/0!</v>
      </c>
      <c r="G5" s="2"/>
      <c r="H5" s="2" t="e">
        <f>G5/$L$7*100</f>
        <v>#DIV/0!</v>
      </c>
      <c r="I5" s="2" t="e">
        <f>G5/$G$7*100</f>
        <v>#DIV/0!</v>
      </c>
      <c r="J5" s="2" t="e">
        <f>G5/$L$7*100</f>
        <v>#DIV/0!</v>
      </c>
      <c r="K5" s="2" t="e">
        <f>F5+J5</f>
        <v>#DIV/0!</v>
      </c>
      <c r="L5" s="2">
        <f>C5+G5</f>
        <v>0</v>
      </c>
      <c r="M5" s="2" t="e">
        <f>H5-D5</f>
        <v>#DIV/0!</v>
      </c>
      <c r="N5" s="2" t="e">
        <f>C5/G5</f>
        <v>#DIV/0!</v>
      </c>
    </row>
    <row r="6" spans="1:14">
      <c r="B6" s="5" t="s">
        <v>105</v>
      </c>
      <c r="C6" s="2"/>
      <c r="D6" s="2" t="e">
        <f>C6/L6*100</f>
        <v>#DIV/0!</v>
      </c>
      <c r="E6" s="2" t="e">
        <f>C6/$C$7*100</f>
        <v>#DIV/0!</v>
      </c>
      <c r="F6" s="2" t="e">
        <f>C6/$L$7*100</f>
        <v>#DIV/0!</v>
      </c>
      <c r="G6" s="2"/>
      <c r="H6" s="2" t="e">
        <f>G6/$L$7*100</f>
        <v>#DIV/0!</v>
      </c>
      <c r="I6" s="2" t="e">
        <f>G6/$G$7*100</f>
        <v>#DIV/0!</v>
      </c>
      <c r="J6" s="2" t="e">
        <f>G6/$L$7*100</f>
        <v>#DIV/0!</v>
      </c>
      <c r="K6" s="2" t="e">
        <f>F6+J6</f>
        <v>#DIV/0!</v>
      </c>
      <c r="L6" s="2">
        <f>C6+G6</f>
        <v>0</v>
      </c>
      <c r="M6" s="2" t="e">
        <f>H6-D6</f>
        <v>#DIV/0!</v>
      </c>
      <c r="N6" s="2" t="e">
        <f>C6/G6</f>
        <v>#DIV/0!</v>
      </c>
    </row>
    <row r="7" spans="1:14">
      <c r="C7" s="2">
        <f>SUM(C3:C6)</f>
        <v>0</v>
      </c>
      <c r="D7" s="2"/>
      <c r="E7" s="2" t="e">
        <f>SUM(E3:E6)</f>
        <v>#DIV/0!</v>
      </c>
      <c r="F7" s="2" t="e">
        <f>SUM(F3:F6)</f>
        <v>#DIV/0!</v>
      </c>
      <c r="G7" s="2">
        <f>SUM(G3:G6)</f>
        <v>0</v>
      </c>
      <c r="H7" s="2"/>
      <c r="I7" s="2" t="e">
        <f>SUM(I3:I6)</f>
        <v>#DIV/0!</v>
      </c>
      <c r="J7" s="2" t="e">
        <f>SUM(J3:J6)</f>
        <v>#DIV/0!</v>
      </c>
      <c r="K7" s="2" t="e">
        <f>SUM(K3:K6)</f>
        <v>#DIV/0!</v>
      </c>
      <c r="L7" s="2">
        <f>SUM(L3:L6)</f>
        <v>0</v>
      </c>
      <c r="M7" s="2"/>
      <c r="N7" s="2"/>
    </row>
    <row r="9" spans="1:14">
      <c r="D9" s="12" t="s">
        <v>1</v>
      </c>
      <c r="E9" s="12" t="s">
        <v>3</v>
      </c>
    </row>
    <row r="10" spans="1:14" customHeight="1" ht="26.25">
      <c r="C10" s="5" t="s">
        <v>102</v>
      </c>
      <c r="D10" s="4">
        <f>C3</f>
        <v>0</v>
      </c>
      <c r="E10" s="4">
        <f>G3</f>
        <v>0</v>
      </c>
    </row>
    <row r="11" spans="1:14" customHeight="1" ht="26.25">
      <c r="C11" s="5" t="s">
        <v>103</v>
      </c>
      <c r="D11" s="4">
        <f>C4</f>
        <v>0</v>
      </c>
      <c r="E11" s="4">
        <f>G4</f>
        <v>0</v>
      </c>
    </row>
    <row r="12" spans="1:14" customHeight="1" ht="26.25">
      <c r="C12" s="5" t="s">
        <v>104</v>
      </c>
      <c r="D12" s="4">
        <f>C5</f>
        <v>0</v>
      </c>
      <c r="E12" s="4">
        <f>G5</f>
        <v>0</v>
      </c>
    </row>
    <row r="13" spans="1:14">
      <c r="C13" s="5" t="s">
        <v>105</v>
      </c>
      <c r="D13" s="4">
        <f>C6</f>
        <v>0</v>
      </c>
      <c r="E13" s="4">
        <f>G6</f>
        <v>0</v>
      </c>
    </row>
    <row r="17" spans="1:14" s="13" customFormat="1"/>
    <row r="20" spans="1:14" customHeight="1" ht="45">
      <c r="B20" s="11" t="s">
        <v>106</v>
      </c>
      <c r="C20" s="11" t="s">
        <v>1</v>
      </c>
      <c r="D20" s="11" t="s">
        <v>2</v>
      </c>
      <c r="E20" s="11" t="s">
        <v>9</v>
      </c>
      <c r="F20" s="11" t="s">
        <v>10</v>
      </c>
      <c r="G20" s="11" t="s">
        <v>3</v>
      </c>
      <c r="H20" s="11" t="s">
        <v>2</v>
      </c>
      <c r="I20" s="11" t="s">
        <v>9</v>
      </c>
      <c r="J20" s="11" t="s">
        <v>11</v>
      </c>
      <c r="K20" s="11" t="s">
        <v>12</v>
      </c>
      <c r="L20" s="11" t="s">
        <v>4</v>
      </c>
      <c r="M20" s="11" t="s">
        <v>5</v>
      </c>
      <c r="N20" s="11" t="s">
        <v>6</v>
      </c>
    </row>
    <row r="21" spans="1:14">
      <c r="B21" s="5" t="s">
        <v>107</v>
      </c>
      <c r="C21" s="2"/>
      <c r="D21" s="2" t="e">
        <f>C21/L21*100</f>
        <v>#DIV/0!</v>
      </c>
      <c r="E21" s="2" t="e">
        <f>C21/$C$27*100</f>
        <v>#DIV/0!</v>
      </c>
      <c r="F21" s="2" t="e">
        <f>C21/$L$27*100</f>
        <v>#DIV/0!</v>
      </c>
      <c r="G21" s="2"/>
      <c r="H21" s="2" t="e">
        <f>G21/L21*100</f>
        <v>#DIV/0!</v>
      </c>
      <c r="I21" s="2" t="e">
        <f>G21/$G$27*100</f>
        <v>#DIV/0!</v>
      </c>
      <c r="J21" s="2" t="e">
        <f>G21/$L$27*100</f>
        <v>#DIV/0!</v>
      </c>
      <c r="K21" s="2" t="e">
        <f>F21+J21</f>
        <v>#DIV/0!</v>
      </c>
      <c r="L21" s="2">
        <f>C21+G21</f>
        <v>0</v>
      </c>
      <c r="M21" s="2" t="e">
        <f>H21-D21</f>
        <v>#DIV/0!</v>
      </c>
      <c r="N21" s="2" t="e">
        <f>C21/G21</f>
        <v>#DIV/0!</v>
      </c>
    </row>
    <row r="22" spans="1:14">
      <c r="B22" s="5" t="s">
        <v>108</v>
      </c>
      <c r="C22" s="2"/>
      <c r="D22" s="2" t="e">
        <f>C22/L22*100</f>
        <v>#DIV/0!</v>
      </c>
      <c r="E22" s="2" t="e">
        <f>C22/$C$27*100</f>
        <v>#DIV/0!</v>
      </c>
      <c r="F22" s="2" t="e">
        <f>C22/$L$27*100</f>
        <v>#DIV/0!</v>
      </c>
      <c r="G22" s="2"/>
      <c r="H22" s="2" t="e">
        <f>G22/L22*100</f>
        <v>#DIV/0!</v>
      </c>
      <c r="I22" s="2" t="e">
        <f>G22/$G$27*100</f>
        <v>#DIV/0!</v>
      </c>
      <c r="J22" s="2" t="e">
        <f>G22/$L$27*100</f>
        <v>#DIV/0!</v>
      </c>
      <c r="K22" s="2" t="e">
        <f>F22+J22</f>
        <v>#DIV/0!</v>
      </c>
      <c r="L22" s="2">
        <f>C22+G22</f>
        <v>0</v>
      </c>
      <c r="M22" s="2" t="e">
        <f>H22-D22</f>
        <v>#DIV/0!</v>
      </c>
      <c r="N22" s="2" t="e">
        <f>C22/G22</f>
        <v>#DIV/0!</v>
      </c>
    </row>
    <row r="23" spans="1:14" customHeight="1" ht="26.25">
      <c r="B23" s="5" t="s">
        <v>109</v>
      </c>
      <c r="C23" s="2"/>
      <c r="D23" s="2" t="e">
        <f>C23/L23*100</f>
        <v>#DIV/0!</v>
      </c>
      <c r="E23" s="2" t="e">
        <f>C23/$C$27*100</f>
        <v>#DIV/0!</v>
      </c>
      <c r="F23" s="2" t="e">
        <f>C23/$L$27*100</f>
        <v>#DIV/0!</v>
      </c>
      <c r="G23" s="2"/>
      <c r="H23" s="2" t="e">
        <f>G23/L23*100</f>
        <v>#DIV/0!</v>
      </c>
      <c r="I23" s="2" t="e">
        <f>G23/$G$27*100</f>
        <v>#DIV/0!</v>
      </c>
      <c r="J23" s="2" t="e">
        <f>G23/$L$27*100</f>
        <v>#DIV/0!</v>
      </c>
      <c r="K23" s="2" t="e">
        <f>F23+J23</f>
        <v>#DIV/0!</v>
      </c>
      <c r="L23" s="2">
        <f>C23+G23</f>
        <v>0</v>
      </c>
      <c r="M23" s="2" t="e">
        <f>H23-D23</f>
        <v>#DIV/0!</v>
      </c>
      <c r="N23" s="2" t="e">
        <f>C23/G23</f>
        <v>#DIV/0!</v>
      </c>
    </row>
    <row r="24" spans="1:14">
      <c r="B24" s="5" t="s">
        <v>110</v>
      </c>
      <c r="C24" s="2"/>
      <c r="D24" s="2" t="e">
        <f>C24/L24*100</f>
        <v>#DIV/0!</v>
      </c>
      <c r="E24" s="2" t="e">
        <f>C24/$C$27*100</f>
        <v>#DIV/0!</v>
      </c>
      <c r="F24" s="2" t="e">
        <f>C24/$L$27*100</f>
        <v>#DIV/0!</v>
      </c>
      <c r="G24" s="2"/>
      <c r="H24" s="2" t="e">
        <f>G24/L24*100</f>
        <v>#DIV/0!</v>
      </c>
      <c r="I24" s="2" t="e">
        <f>G24/$G$27*100</f>
        <v>#DIV/0!</v>
      </c>
      <c r="J24" s="2" t="e">
        <f>G24/$L$27*100</f>
        <v>#DIV/0!</v>
      </c>
      <c r="K24" s="2" t="e">
        <f>F24+J24</f>
        <v>#DIV/0!</v>
      </c>
      <c r="L24" s="2">
        <f>C24+G24</f>
        <v>0</v>
      </c>
      <c r="M24" s="2" t="e">
        <f>H24-D24</f>
        <v>#DIV/0!</v>
      </c>
      <c r="N24" s="2" t="e">
        <f>C24/G24</f>
        <v>#DIV/0!</v>
      </c>
    </row>
    <row r="25" spans="1:14" customHeight="1" ht="51.75">
      <c r="B25" s="5" t="s">
        <v>111</v>
      </c>
      <c r="C25" s="2"/>
      <c r="D25" s="2" t="e">
        <f>C25/L25*100</f>
        <v>#DIV/0!</v>
      </c>
      <c r="E25" s="2" t="e">
        <f>C25/$C$27*100</f>
        <v>#DIV/0!</v>
      </c>
      <c r="F25" s="2" t="e">
        <f>C25/$L$27*100</f>
        <v>#DIV/0!</v>
      </c>
      <c r="G25" s="2"/>
      <c r="H25" s="2" t="e">
        <f>G25/L25*100</f>
        <v>#DIV/0!</v>
      </c>
      <c r="I25" s="2" t="e">
        <f>G25/$G$27*100</f>
        <v>#DIV/0!</v>
      </c>
      <c r="J25" s="2" t="e">
        <f>G25/$L$27*100</f>
        <v>#DIV/0!</v>
      </c>
      <c r="K25" s="2" t="e">
        <f>F25+J25</f>
        <v>#DIV/0!</v>
      </c>
      <c r="L25" s="2">
        <f>C25+G25</f>
        <v>0</v>
      </c>
      <c r="M25" s="2" t="e">
        <f>H25-D25</f>
        <v>#DIV/0!</v>
      </c>
      <c r="N25" s="2" t="e">
        <f>C25/G25</f>
        <v>#DIV/0!</v>
      </c>
    </row>
    <row r="26" spans="1:14" customHeight="1" ht="26.25">
      <c r="B26" s="5" t="s">
        <v>112</v>
      </c>
      <c r="C26" s="2"/>
      <c r="D26" s="2" t="e">
        <f>C26/L26*100</f>
        <v>#DIV/0!</v>
      </c>
      <c r="E26" s="2" t="e">
        <f>C26/$C$27*100</f>
        <v>#DIV/0!</v>
      </c>
      <c r="F26" s="2" t="e">
        <f>C26/$L$27*100</f>
        <v>#DIV/0!</v>
      </c>
      <c r="G26" s="2"/>
      <c r="H26" s="2" t="e">
        <f>G26/L26*100</f>
        <v>#DIV/0!</v>
      </c>
      <c r="I26" s="2" t="e">
        <f>G26/$G$27*100</f>
        <v>#DIV/0!</v>
      </c>
      <c r="J26" s="2" t="e">
        <f>G26/$L$27*100</f>
        <v>#DIV/0!</v>
      </c>
      <c r="K26" s="2" t="e">
        <f>F26+J26</f>
        <v>#DIV/0!</v>
      </c>
      <c r="L26" s="2">
        <f>C26+G26</f>
        <v>0</v>
      </c>
      <c r="M26" s="2" t="e">
        <f>H26-D26</f>
        <v>#DIV/0!</v>
      </c>
      <c r="N26" s="2" t="e">
        <f>C26/G26</f>
        <v>#DIV/0!</v>
      </c>
    </row>
    <row r="27" spans="1:14">
      <c r="C27" s="2">
        <f>SUM(C21:C26)</f>
        <v>0</v>
      </c>
      <c r="D27" s="2"/>
      <c r="E27" s="2" t="e">
        <f>SUM(E21:E26)</f>
        <v>#DIV/0!</v>
      </c>
      <c r="F27" s="2" t="e">
        <f>SUM(F21:F26)</f>
        <v>#DIV/0!</v>
      </c>
      <c r="G27" s="2">
        <f>SUM(G21:G26)</f>
        <v>0</v>
      </c>
      <c r="H27" s="2"/>
      <c r="I27" s="2" t="e">
        <f>SUM(I21:I26)</f>
        <v>#DIV/0!</v>
      </c>
      <c r="J27" s="2" t="e">
        <f>SUM(J21:J26)</f>
        <v>#DIV/0!</v>
      </c>
      <c r="K27" s="2" t="e">
        <f>SUM(K21:K26)</f>
        <v>#DIV/0!</v>
      </c>
      <c r="L27" s="2">
        <f>SUM(L21:L26)</f>
        <v>0</v>
      </c>
      <c r="M27" s="2"/>
      <c r="N27" s="2"/>
    </row>
    <row r="31" spans="1:14">
      <c r="D31" s="12" t="s">
        <v>1</v>
      </c>
      <c r="E31" s="12" t="s">
        <v>3</v>
      </c>
    </row>
    <row r="32" spans="1:14">
      <c r="C32" s="5" t="s">
        <v>107</v>
      </c>
      <c r="D32" s="4">
        <f>C21</f>
        <v>0</v>
      </c>
      <c r="E32" s="4">
        <f>G21</f>
        <v>0</v>
      </c>
    </row>
    <row r="33" spans="1:14">
      <c r="C33" s="5" t="s">
        <v>108</v>
      </c>
      <c r="D33" s="4">
        <f>C22</f>
        <v>0</v>
      </c>
      <c r="E33" s="4">
        <f>G22</f>
        <v>0</v>
      </c>
    </row>
    <row r="34" spans="1:14" customHeight="1" ht="26.25">
      <c r="C34" s="5" t="s">
        <v>109</v>
      </c>
      <c r="D34" s="4">
        <f>C23</f>
        <v>0</v>
      </c>
      <c r="E34" s="4">
        <f>G23</f>
        <v>0</v>
      </c>
    </row>
    <row r="35" spans="1:14">
      <c r="C35" s="5" t="s">
        <v>110</v>
      </c>
      <c r="D35" s="4">
        <f>C24</f>
        <v>0</v>
      </c>
      <c r="E35" s="4">
        <f>G24</f>
        <v>0</v>
      </c>
    </row>
    <row r="36" spans="1:14" customHeight="1" ht="51.75">
      <c r="C36" s="5" t="s">
        <v>111</v>
      </c>
      <c r="D36" s="4">
        <f>C25</f>
        <v>0</v>
      </c>
      <c r="E36" s="4">
        <f>G25</f>
        <v>0</v>
      </c>
    </row>
    <row r="37" spans="1:14" customHeight="1" ht="26.25">
      <c r="C37" s="5" t="s">
        <v>112</v>
      </c>
      <c r="D37" s="4">
        <f>C26</f>
        <v>0</v>
      </c>
      <c r="E37" s="4">
        <f>G26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1"/>
  <sheetViews>
    <sheetView tabSelected="0" workbookViewId="0" showGridLines="true" showRowColHeaders="1">
      <selection activeCell="C8" sqref="C8:E11"/>
    </sheetView>
  </sheetViews>
  <sheetFormatPr defaultRowHeight="14.4" outlineLevelRow="0" outlineLevelCol="0"/>
  <cols>
    <col min="1" max="1" width="6.85546875" customWidth="true" style="0"/>
  </cols>
  <sheetData>
    <row r="2" spans="1:14" customHeight="1" ht="45">
      <c r="B2" s="11" t="s">
        <v>113</v>
      </c>
      <c r="C2" s="11" t="s">
        <v>1</v>
      </c>
      <c r="D2" s="11" t="s">
        <v>2</v>
      </c>
      <c r="E2" s="11" t="s">
        <v>9</v>
      </c>
      <c r="F2" s="11" t="s">
        <v>10</v>
      </c>
      <c r="G2" s="11" t="s">
        <v>3</v>
      </c>
      <c r="H2" s="11" t="s">
        <v>2</v>
      </c>
      <c r="I2" s="11" t="s">
        <v>9</v>
      </c>
      <c r="J2" s="11" t="s">
        <v>11</v>
      </c>
      <c r="K2" s="11" t="s">
        <v>12</v>
      </c>
      <c r="L2" s="11" t="s">
        <v>4</v>
      </c>
      <c r="M2" s="11" t="s">
        <v>5</v>
      </c>
      <c r="N2" s="11" t="s">
        <v>6</v>
      </c>
    </row>
    <row r="3" spans="1:14" customHeight="1" ht="26.25">
      <c r="B3" s="5" t="s">
        <v>114</v>
      </c>
      <c r="C3" s="2"/>
      <c r="D3" s="2" t="e">
        <f>C3/L3*100</f>
        <v>#DIV/0!</v>
      </c>
      <c r="E3" s="2" t="e">
        <f>C3/$C$6*100</f>
        <v>#DIV/0!</v>
      </c>
      <c r="F3" s="2" t="e">
        <f>C3/$L$6*100</f>
        <v>#DIV/0!</v>
      </c>
      <c r="G3" s="2"/>
      <c r="H3" s="2" t="e">
        <f>G3/L3*100</f>
        <v>#DIV/0!</v>
      </c>
      <c r="I3" s="2" t="e">
        <f>G3/$G$6*100</f>
        <v>#DIV/0!</v>
      </c>
      <c r="J3" s="2" t="e">
        <f>G3/$L$6*100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1:14" customHeight="1" ht="39">
      <c r="B4" s="5" t="s">
        <v>115</v>
      </c>
      <c r="C4" s="2"/>
      <c r="D4" s="2" t="e">
        <f>C4/L4*100</f>
        <v>#DIV/0!</v>
      </c>
      <c r="E4" s="2" t="e">
        <f>C4/$C$6*100</f>
        <v>#DIV/0!</v>
      </c>
      <c r="F4" s="2" t="e">
        <f>C4/$L$6*100</f>
        <v>#DIV/0!</v>
      </c>
      <c r="G4" s="2"/>
      <c r="H4" s="2" t="e">
        <f>G4/L4*100</f>
        <v>#DIV/0!</v>
      </c>
      <c r="I4" s="2" t="e">
        <f>G4/$G$6*100</f>
        <v>#DIV/0!</v>
      </c>
      <c r="J4" s="2" t="e">
        <f>G4/$L$6*100</f>
        <v>#DIV/0!</v>
      </c>
      <c r="K4" s="2" t="e">
        <f>F4+J4</f>
        <v>#DIV/0!</v>
      </c>
      <c r="L4" s="2">
        <f>C4+G4</f>
        <v>0</v>
      </c>
      <c r="M4" s="2" t="e">
        <f>H4-D4</f>
        <v>#DIV/0!</v>
      </c>
      <c r="N4" s="2" t="e">
        <f>C4/G4</f>
        <v>#DIV/0!</v>
      </c>
    </row>
    <row r="5" spans="1:14" customHeight="1" ht="51.75">
      <c r="B5" s="5" t="s">
        <v>116</v>
      </c>
      <c r="C5" s="2"/>
      <c r="D5" s="2" t="e">
        <f>C5/L5*100</f>
        <v>#DIV/0!</v>
      </c>
      <c r="E5" s="2" t="e">
        <f>C5/$C$6*100</f>
        <v>#DIV/0!</v>
      </c>
      <c r="F5" s="2" t="e">
        <f>C5/$L$6*100</f>
        <v>#DIV/0!</v>
      </c>
      <c r="G5" s="2"/>
      <c r="H5" s="2" t="e">
        <f>G5/L5*100</f>
        <v>#DIV/0!</v>
      </c>
      <c r="I5" s="2" t="e">
        <f>G5/$G$6*100</f>
        <v>#DIV/0!</v>
      </c>
      <c r="J5" s="2" t="e">
        <f>G5/$L$6*100</f>
        <v>#DIV/0!</v>
      </c>
      <c r="K5" s="2" t="e">
        <f>F5+J5</f>
        <v>#DIV/0!</v>
      </c>
      <c r="L5" s="2">
        <f>C5+G5</f>
        <v>0</v>
      </c>
      <c r="M5" s="2" t="e">
        <f>H5-D5</f>
        <v>#DIV/0!</v>
      </c>
      <c r="N5" s="2" t="e">
        <f>C5/G5</f>
        <v>#DIV/0!</v>
      </c>
    </row>
    <row r="6" spans="1:14">
      <c r="C6" s="2">
        <f>SUM(C3:C5)</f>
        <v>0</v>
      </c>
      <c r="D6" s="2"/>
      <c r="E6" s="2" t="e">
        <f>SUM(E3:E5)</f>
        <v>#DIV/0!</v>
      </c>
      <c r="F6" s="2" t="e">
        <f>SUM(F3:F5)</f>
        <v>#DIV/0!</v>
      </c>
      <c r="G6" s="2">
        <f>SUM(G3:G5)</f>
        <v>0</v>
      </c>
      <c r="H6" s="2"/>
      <c r="I6" s="2" t="e">
        <f>SUM(I3:I5)</f>
        <v>#DIV/0!</v>
      </c>
      <c r="J6" s="2" t="e">
        <f>SUM(J3:J5)</f>
        <v>#DIV/0!</v>
      </c>
      <c r="K6" s="2" t="e">
        <f>SUM(K3:K5)</f>
        <v>#DIV/0!</v>
      </c>
      <c r="L6" s="2">
        <f>SUM(L3:L5)</f>
        <v>0</v>
      </c>
      <c r="M6" s="2"/>
      <c r="N6" s="2"/>
    </row>
    <row r="8" spans="1:14">
      <c r="D8" s="12" t="s">
        <v>1</v>
      </c>
      <c r="E8" s="12" t="s">
        <v>3</v>
      </c>
    </row>
    <row r="9" spans="1:14" customHeight="1" ht="26.25">
      <c r="C9" s="5" t="s">
        <v>114</v>
      </c>
      <c r="D9" s="4">
        <f>C3</f>
        <v>0</v>
      </c>
      <c r="E9" s="4">
        <f>G3</f>
        <v>0</v>
      </c>
    </row>
    <row r="10" spans="1:14" customHeight="1" ht="39">
      <c r="C10" s="5" t="s">
        <v>115</v>
      </c>
      <c r="D10" s="4">
        <f>C4</f>
        <v>0</v>
      </c>
      <c r="E10" s="4">
        <f>G4</f>
        <v>0</v>
      </c>
    </row>
    <row r="11" spans="1:14" customHeight="1" ht="51.75">
      <c r="C11" s="5" t="s">
        <v>116</v>
      </c>
      <c r="D11" s="4">
        <f>C5</f>
        <v>0</v>
      </c>
      <c r="E11" s="4">
        <f>G5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9"/>
  <sheetViews>
    <sheetView tabSelected="0" workbookViewId="0" showGridLines="true" showRowColHeaders="1">
      <selection activeCell="C7" sqref="C7:E9"/>
    </sheetView>
  </sheetViews>
  <sheetFormatPr defaultRowHeight="14.4" outlineLevelRow="0" outlineLevelCol="0"/>
  <cols>
    <col min="1" max="1" width="6.7109375" customWidth="true" style="0"/>
  </cols>
  <sheetData>
    <row r="2" spans="1:14" customHeight="1" ht="45">
      <c r="B2" s="11" t="s">
        <v>117</v>
      </c>
      <c r="C2" s="11" t="s">
        <v>1</v>
      </c>
      <c r="D2" s="11" t="s">
        <v>2</v>
      </c>
      <c r="E2" s="11" t="s">
        <v>9</v>
      </c>
      <c r="F2" s="11" t="s">
        <v>10</v>
      </c>
      <c r="G2" s="11" t="s">
        <v>3</v>
      </c>
      <c r="H2" s="11" t="s">
        <v>2</v>
      </c>
      <c r="I2" s="11" t="s">
        <v>9</v>
      </c>
      <c r="J2" s="11" t="s">
        <v>11</v>
      </c>
      <c r="K2" s="11" t="s">
        <v>12</v>
      </c>
      <c r="L2" s="11" t="s">
        <v>4</v>
      </c>
      <c r="M2" s="11" t="s">
        <v>5</v>
      </c>
      <c r="N2" s="11" t="s">
        <v>6</v>
      </c>
    </row>
    <row r="3" spans="1:14">
      <c r="B3" s="5" t="s">
        <v>118</v>
      </c>
      <c r="C3" s="2"/>
      <c r="D3" s="2" t="e">
        <f>C3/L3*100</f>
        <v>#DIV/0!</v>
      </c>
      <c r="E3" s="2" t="e">
        <f>C3/$C$5*100</f>
        <v>#DIV/0!</v>
      </c>
      <c r="F3" s="2" t="e">
        <f>C3/$L$5*100</f>
        <v>#DIV/0!</v>
      </c>
      <c r="G3" s="2"/>
      <c r="H3" s="2" t="e">
        <f>G3/L3*100</f>
        <v>#DIV/0!</v>
      </c>
      <c r="I3" s="2" t="e">
        <f>G3/$G$5*100</f>
        <v>#DIV/0!</v>
      </c>
      <c r="J3" s="2" t="e">
        <f>G3/$L$5*100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1:14">
      <c r="B4" s="5" t="s">
        <v>119</v>
      </c>
      <c r="C4" s="2"/>
      <c r="D4" s="2" t="e">
        <f>C4/L4*100</f>
        <v>#DIV/0!</v>
      </c>
      <c r="E4" s="2" t="e">
        <f>C4/$C$5*100</f>
        <v>#DIV/0!</v>
      </c>
      <c r="F4" s="2" t="e">
        <f>C4/$L$5*100</f>
        <v>#DIV/0!</v>
      </c>
      <c r="G4" s="2"/>
      <c r="H4" s="2" t="e">
        <f>G4/L4*100</f>
        <v>#DIV/0!</v>
      </c>
      <c r="I4" s="2" t="e">
        <f>G4/$G$5*100</f>
        <v>#DIV/0!</v>
      </c>
      <c r="J4" s="2" t="e">
        <f>G4/$L$5*100</f>
        <v>#DIV/0!</v>
      </c>
      <c r="K4" s="2" t="e">
        <f>F4+J4</f>
        <v>#DIV/0!</v>
      </c>
      <c r="L4" s="2">
        <f>C4+G4</f>
        <v>0</v>
      </c>
      <c r="M4" s="2" t="e">
        <f>H4-D4</f>
        <v>#DIV/0!</v>
      </c>
      <c r="N4" s="2" t="e">
        <f>C4/G4</f>
        <v>#DIV/0!</v>
      </c>
    </row>
    <row r="5" spans="1:14">
      <c r="C5" s="2">
        <f>SUM(C3:C4)</f>
        <v>0</v>
      </c>
      <c r="D5" s="2"/>
      <c r="E5" s="2" t="e">
        <f>SUM(E3:E4)</f>
        <v>#DIV/0!</v>
      </c>
      <c r="F5" s="2" t="e">
        <f>SUM(F3:F4)</f>
        <v>#DIV/0!</v>
      </c>
      <c r="G5" s="2">
        <f>SUM(G3:G4)</f>
        <v>0</v>
      </c>
      <c r="H5" s="2"/>
      <c r="I5" s="2" t="e">
        <f>SUM(I3:I4)</f>
        <v>#DIV/0!</v>
      </c>
      <c r="J5" s="2" t="e">
        <f>SUM(J3:J4)</f>
        <v>#DIV/0!</v>
      </c>
      <c r="K5" s="2" t="e">
        <f>SUM(K3:K4)</f>
        <v>#DIV/0!</v>
      </c>
      <c r="L5" s="2">
        <f>SUM(L3:L4)</f>
        <v>0</v>
      </c>
      <c r="M5" s="2"/>
      <c r="N5" s="2"/>
    </row>
    <row r="7" spans="1:14">
      <c r="D7" s="12" t="s">
        <v>1</v>
      </c>
      <c r="E7" s="12" t="s">
        <v>3</v>
      </c>
    </row>
    <row r="8" spans="1:14">
      <c r="C8" s="5" t="s">
        <v>118</v>
      </c>
      <c r="D8" s="4">
        <f>C3</f>
        <v>0</v>
      </c>
      <c r="E8" s="4">
        <f>G3</f>
        <v>0</v>
      </c>
    </row>
    <row r="9" spans="1:14">
      <c r="C9" s="5" t="s">
        <v>119</v>
      </c>
      <c r="D9" s="4">
        <f>C4</f>
        <v>0</v>
      </c>
      <c r="E9" s="4">
        <f>G4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9"/>
  <sheetViews>
    <sheetView tabSelected="0" workbookViewId="0" showGridLines="true" showRowColHeaders="1">
      <selection activeCell="C7" sqref="C7:E9"/>
    </sheetView>
  </sheetViews>
  <sheetFormatPr defaultRowHeight="14.4" outlineLevelRow="0" outlineLevelCol="0"/>
  <cols>
    <col min="1" max="1" width="6.28515625" customWidth="true" style="0"/>
  </cols>
  <sheetData>
    <row r="2" spans="1:14" customHeight="1" ht="45">
      <c r="B2" s="11" t="s">
        <v>120</v>
      </c>
      <c r="C2" s="11" t="s">
        <v>1</v>
      </c>
      <c r="D2" s="11" t="s">
        <v>2</v>
      </c>
      <c r="E2" s="11" t="s">
        <v>9</v>
      </c>
      <c r="F2" s="11" t="s">
        <v>10</v>
      </c>
      <c r="G2" s="11" t="s">
        <v>3</v>
      </c>
      <c r="H2" s="11" t="s">
        <v>2</v>
      </c>
      <c r="I2" s="11" t="s">
        <v>9</v>
      </c>
      <c r="J2" s="11" t="s">
        <v>11</v>
      </c>
      <c r="K2" s="11" t="s">
        <v>12</v>
      </c>
      <c r="L2" s="11" t="s">
        <v>4</v>
      </c>
      <c r="M2" s="11" t="s">
        <v>5</v>
      </c>
      <c r="N2" s="11" t="s">
        <v>6</v>
      </c>
    </row>
    <row r="3" spans="1:14">
      <c r="B3" s="5"/>
      <c r="C3" s="2"/>
      <c r="D3" s="2" t="e">
        <f>C3/L3*100</f>
        <v>#DIV/0!</v>
      </c>
      <c r="E3" s="2" t="e">
        <f>C3/$C$5*100</f>
        <v>#DIV/0!</v>
      </c>
      <c r="F3" s="2" t="e">
        <f>C3/$L$5*100</f>
        <v>#DIV/0!</v>
      </c>
      <c r="G3" s="2"/>
      <c r="H3" s="2" t="e">
        <f>G3/L3*100</f>
        <v>#DIV/0!</v>
      </c>
      <c r="I3" s="2" t="e">
        <f>G3/$G$5*100</f>
        <v>#DIV/0!</v>
      </c>
      <c r="J3" s="2" t="e">
        <f>G3/$L$5*100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1:14">
      <c r="B4" s="5"/>
      <c r="C4" s="2"/>
      <c r="D4" s="2" t="e">
        <f>C4/L4*100</f>
        <v>#DIV/0!</v>
      </c>
      <c r="E4" s="2" t="e">
        <f>C4/$C$5*100</f>
        <v>#DIV/0!</v>
      </c>
      <c r="F4" s="2" t="e">
        <f>C4/$L$5*100</f>
        <v>#DIV/0!</v>
      </c>
      <c r="G4" s="2"/>
      <c r="H4" s="2" t="e">
        <f>G4/L4*100</f>
        <v>#DIV/0!</v>
      </c>
      <c r="I4" s="2" t="e">
        <f>G4/$G$5*100</f>
        <v>#DIV/0!</v>
      </c>
      <c r="J4" s="2" t="e">
        <f>G4/$L$5*100</f>
        <v>#DIV/0!</v>
      </c>
      <c r="K4" s="2" t="e">
        <f>F4+J4</f>
        <v>#DIV/0!</v>
      </c>
      <c r="L4" s="2">
        <f>C4+G4</f>
        <v>0</v>
      </c>
      <c r="M4" s="2" t="e">
        <f>H4-D4</f>
        <v>#DIV/0!</v>
      </c>
      <c r="N4" s="2" t="e">
        <f>C4/G4</f>
        <v>#DIV/0!</v>
      </c>
    </row>
    <row r="5" spans="1:14">
      <c r="C5" s="2">
        <f>SUM(C3:C4)</f>
        <v>0</v>
      </c>
      <c r="D5" s="2"/>
      <c r="E5" s="2" t="e">
        <f>SUM(E3:E4)</f>
        <v>#DIV/0!</v>
      </c>
      <c r="F5" s="2" t="e">
        <f>SUM(F3:F4)</f>
        <v>#DIV/0!</v>
      </c>
      <c r="G5" s="2">
        <f>SUM(G3:G4)</f>
        <v>0</v>
      </c>
      <c r="H5" s="2"/>
      <c r="I5" s="2" t="e">
        <f>SUM(I3:I4)</f>
        <v>#DIV/0!</v>
      </c>
      <c r="J5" s="2" t="e">
        <f>SUM(J3:J4)</f>
        <v>#DIV/0!</v>
      </c>
      <c r="K5" s="2" t="e">
        <f>SUM(K3:K4)</f>
        <v>#DIV/0!</v>
      </c>
      <c r="L5" s="2">
        <f>SUM(L3:L4)</f>
        <v>0</v>
      </c>
      <c r="M5" s="2"/>
      <c r="N5" s="2"/>
    </row>
    <row r="7" spans="1:14">
      <c r="D7" s="12" t="s">
        <v>1</v>
      </c>
      <c r="E7" s="12" t="s">
        <v>3</v>
      </c>
    </row>
    <row r="8" spans="1:14">
      <c r="C8" s="5"/>
      <c r="D8" s="4">
        <f>C3</f>
        <v>0</v>
      </c>
      <c r="E8" s="4">
        <f>G3</f>
        <v>0</v>
      </c>
    </row>
    <row r="9" spans="1:14">
      <c r="C9" s="5"/>
      <c r="D9" s="4">
        <f>C4</f>
        <v>0</v>
      </c>
      <c r="E9" s="4">
        <f>G4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7"/>
  <sheetViews>
    <sheetView tabSelected="0" workbookViewId="0" showGridLines="true" showRowColHeaders="1">
      <selection activeCell="I3" sqref="I3"/>
    </sheetView>
  </sheetViews>
  <sheetFormatPr defaultRowHeight="14.4" outlineLevelRow="0" outlineLevelCol="0"/>
  <cols>
    <col min="1" max="1" width="7" customWidth="true" style="0"/>
  </cols>
  <sheetData>
    <row r="2" spans="1:14" customHeight="1" ht="45">
      <c r="B2" s="11" t="s">
        <v>121</v>
      </c>
      <c r="C2" s="11" t="s">
        <v>1</v>
      </c>
      <c r="D2" s="11" t="s">
        <v>2</v>
      </c>
      <c r="E2" s="11" t="s">
        <v>9</v>
      </c>
      <c r="F2" s="11" t="s">
        <v>10</v>
      </c>
      <c r="G2" s="11" t="s">
        <v>3</v>
      </c>
      <c r="H2" s="11" t="s">
        <v>2</v>
      </c>
      <c r="I2" s="11" t="s">
        <v>9</v>
      </c>
      <c r="J2" s="11" t="s">
        <v>11</v>
      </c>
      <c r="K2" s="11" t="s">
        <v>12</v>
      </c>
      <c r="L2" s="11" t="s">
        <v>4</v>
      </c>
      <c r="M2" s="11" t="s">
        <v>5</v>
      </c>
      <c r="N2" s="11" t="s">
        <v>6</v>
      </c>
    </row>
    <row r="3" spans="1:14" customHeight="1" ht="26.25">
      <c r="B3" s="5" t="s">
        <v>122</v>
      </c>
      <c r="C3" s="2">
        <v>0</v>
      </c>
      <c r="D3" s="2" t="e">
        <f>C3/L3*100</f>
        <v>#DIV/0!</v>
      </c>
      <c r="E3" s="2" t="e">
        <f>C3/$C$14*100</f>
        <v>#DIV/0!</v>
      </c>
      <c r="F3" s="2" t="e">
        <f>C3/$L$14*100</f>
        <v>#DIV/0!</v>
      </c>
      <c r="G3" s="2">
        <v>0</v>
      </c>
      <c r="H3" s="2" t="e">
        <f>G3/L3*100</f>
        <v>#DIV/0!</v>
      </c>
      <c r="I3" s="2" t="e">
        <f>G3/$G$14*100</f>
        <v>#DIV/0!</v>
      </c>
      <c r="J3" s="2" t="e">
        <f>G3/$L$14*100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1:14" customHeight="1" ht="26.25">
      <c r="B4" s="5" t="s">
        <v>123</v>
      </c>
      <c r="C4" s="2">
        <v>0</v>
      </c>
      <c r="D4" s="2" t="e">
        <f>C4/L4*100</f>
        <v>#DIV/0!</v>
      </c>
      <c r="E4" s="2" t="e">
        <f>C4/$C$14*100</f>
        <v>#DIV/0!</v>
      </c>
      <c r="F4" s="2" t="e">
        <f>C4/$L$14*100</f>
        <v>#DIV/0!</v>
      </c>
      <c r="G4" s="2">
        <v>0</v>
      </c>
      <c r="H4" s="2" t="e">
        <f>G4/L4*100</f>
        <v>#DIV/0!</v>
      </c>
      <c r="I4" s="2" t="e">
        <f>G4/$G$14*100</f>
        <v>#DIV/0!</v>
      </c>
      <c r="J4" s="2" t="e">
        <f>G4/$L$14*100</f>
        <v>#DIV/0!</v>
      </c>
      <c r="K4" s="2" t="e">
        <f>F4+J4</f>
        <v>#DIV/0!</v>
      </c>
      <c r="L4" s="2">
        <f>C4+G4</f>
        <v>0</v>
      </c>
      <c r="M4" s="2" t="e">
        <f>H4-D4</f>
        <v>#DIV/0!</v>
      </c>
      <c r="N4" s="2" t="e">
        <f>C4/G4</f>
        <v>#DIV/0!</v>
      </c>
    </row>
    <row r="5" spans="1:14" customHeight="1" ht="26.25">
      <c r="B5" s="5" t="s">
        <v>124</v>
      </c>
      <c r="C5" s="2">
        <v>0</v>
      </c>
      <c r="D5" s="2" t="e">
        <f>C5/L5*100</f>
        <v>#DIV/0!</v>
      </c>
      <c r="E5" s="2" t="e">
        <f>C5/$C$14*100</f>
        <v>#DIV/0!</v>
      </c>
      <c r="F5" s="2" t="e">
        <f>C5/$L$14*100</f>
        <v>#DIV/0!</v>
      </c>
      <c r="G5" s="2">
        <v>0</v>
      </c>
      <c r="H5" s="2" t="e">
        <f>G5/L5*100</f>
        <v>#DIV/0!</v>
      </c>
      <c r="I5" s="2" t="e">
        <f>G5/$G$14*100</f>
        <v>#DIV/0!</v>
      </c>
      <c r="J5" s="2" t="e">
        <f>G5/$L$14*100</f>
        <v>#DIV/0!</v>
      </c>
      <c r="K5" s="2" t="e">
        <f>F5+J5</f>
        <v>#DIV/0!</v>
      </c>
      <c r="L5" s="2">
        <f>C5+G5</f>
        <v>0</v>
      </c>
      <c r="M5" s="2" t="e">
        <f>H5-D5</f>
        <v>#DIV/0!</v>
      </c>
      <c r="N5" s="2" t="e">
        <f>C5/G5</f>
        <v>#DIV/0!</v>
      </c>
    </row>
    <row r="6" spans="1:14" customHeight="1" ht="26.25">
      <c r="B6" s="5" t="s">
        <v>125</v>
      </c>
      <c r="C6" s="2">
        <v>0</v>
      </c>
      <c r="D6" s="2" t="e">
        <f>C6/L6*100</f>
        <v>#DIV/0!</v>
      </c>
      <c r="E6" s="2" t="e">
        <f>C6/$C$14*100</f>
        <v>#DIV/0!</v>
      </c>
      <c r="F6" s="2" t="e">
        <f>C6/$L$14*100</f>
        <v>#DIV/0!</v>
      </c>
      <c r="G6" s="2">
        <v>0</v>
      </c>
      <c r="H6" s="2" t="e">
        <f>G6/L6*100</f>
        <v>#DIV/0!</v>
      </c>
      <c r="I6" s="2" t="e">
        <f>G6/$G$14*100</f>
        <v>#DIV/0!</v>
      </c>
      <c r="J6" s="2" t="e">
        <f>G6/$L$14*100</f>
        <v>#DIV/0!</v>
      </c>
      <c r="K6" s="2" t="e">
        <f>F6+J6</f>
        <v>#DIV/0!</v>
      </c>
      <c r="L6" s="2">
        <f>C6+G6</f>
        <v>0</v>
      </c>
      <c r="M6" s="2" t="e">
        <f>H6-D6</f>
        <v>#DIV/0!</v>
      </c>
      <c r="N6" s="2" t="e">
        <f>C6/G6</f>
        <v>#DIV/0!</v>
      </c>
    </row>
    <row r="7" spans="1:14" customHeight="1" ht="26.25">
      <c r="B7" s="5" t="s">
        <v>126</v>
      </c>
      <c r="C7" s="2">
        <v>0</v>
      </c>
      <c r="D7" s="2" t="e">
        <f>C7/L7*100</f>
        <v>#DIV/0!</v>
      </c>
      <c r="E7" s="2" t="e">
        <f>C7/$C$14*100</f>
        <v>#DIV/0!</v>
      </c>
      <c r="F7" s="2" t="e">
        <f>C7/$L$14*100</f>
        <v>#DIV/0!</v>
      </c>
      <c r="G7" s="2">
        <v>0</v>
      </c>
      <c r="H7" s="2" t="e">
        <f>G7/L7*100</f>
        <v>#DIV/0!</v>
      </c>
      <c r="I7" s="2" t="e">
        <f>G7/$G$14*100</f>
        <v>#DIV/0!</v>
      </c>
      <c r="J7" s="2" t="e">
        <f>G7/$L$14*100</f>
        <v>#DIV/0!</v>
      </c>
      <c r="K7" s="2" t="e">
        <f>F7+J7</f>
        <v>#DIV/0!</v>
      </c>
      <c r="L7" s="2">
        <f>C7+G7</f>
        <v>0</v>
      </c>
      <c r="M7" s="2" t="e">
        <f>H7-D7</f>
        <v>#DIV/0!</v>
      </c>
      <c r="N7" s="2" t="e">
        <f>C7/G7</f>
        <v>#DIV/0!</v>
      </c>
    </row>
    <row r="8" spans="1:14" customHeight="1" ht="26.25">
      <c r="B8" s="5" t="s">
        <v>127</v>
      </c>
      <c r="C8" s="2">
        <v>0</v>
      </c>
      <c r="D8" s="2" t="e">
        <f>C8/L8*100</f>
        <v>#DIV/0!</v>
      </c>
      <c r="E8" s="2" t="e">
        <f>C8/$C$14*100</f>
        <v>#DIV/0!</v>
      </c>
      <c r="F8" s="2" t="e">
        <f>C8/$L$14*100</f>
        <v>#DIV/0!</v>
      </c>
      <c r="G8" s="2">
        <v>0</v>
      </c>
      <c r="H8" s="2" t="e">
        <f>G8/L8*100</f>
        <v>#DIV/0!</v>
      </c>
      <c r="I8" s="2" t="e">
        <f>G8/$G$14*100</f>
        <v>#DIV/0!</v>
      </c>
      <c r="J8" s="2" t="e">
        <f>G8/$L$14*100</f>
        <v>#DIV/0!</v>
      </c>
      <c r="K8" s="2" t="e">
        <f>F8+J8</f>
        <v>#DIV/0!</v>
      </c>
      <c r="L8" s="2">
        <f>C8+G8</f>
        <v>0</v>
      </c>
      <c r="M8" s="2" t="e">
        <f>H8-D8</f>
        <v>#DIV/0!</v>
      </c>
      <c r="N8" s="2" t="e">
        <f>C8/G8</f>
        <v>#DIV/0!</v>
      </c>
    </row>
    <row r="9" spans="1:14" customHeight="1" ht="26.25">
      <c r="B9" s="5" t="s">
        <v>128</v>
      </c>
      <c r="C9" s="2">
        <v>0</v>
      </c>
      <c r="D9" s="2" t="e">
        <f>C9/L9*100</f>
        <v>#DIV/0!</v>
      </c>
      <c r="E9" s="2" t="e">
        <f>C9/$C$14*100</f>
        <v>#DIV/0!</v>
      </c>
      <c r="F9" s="2" t="e">
        <f>C9/$L$14*100</f>
        <v>#DIV/0!</v>
      </c>
      <c r="G9" s="2">
        <v>0</v>
      </c>
      <c r="H9" s="2" t="e">
        <f>G9/L9*100</f>
        <v>#DIV/0!</v>
      </c>
      <c r="I9" s="2" t="e">
        <f>G9/$G$14*100</f>
        <v>#DIV/0!</v>
      </c>
      <c r="J9" s="2" t="e">
        <f>G9/$L$14*100</f>
        <v>#DIV/0!</v>
      </c>
      <c r="K9" s="2" t="e">
        <f>F9+J9</f>
        <v>#DIV/0!</v>
      </c>
      <c r="L9" s="2">
        <f>C9+G9</f>
        <v>0</v>
      </c>
      <c r="M9" s="2" t="e">
        <f>H9-D9</f>
        <v>#DIV/0!</v>
      </c>
      <c r="N9" s="2" t="e">
        <f>C9/G9</f>
        <v>#DIV/0!</v>
      </c>
    </row>
    <row r="10" spans="1:14" customHeight="1" ht="26.25">
      <c r="B10" s="5" t="s">
        <v>129</v>
      </c>
      <c r="C10" s="2">
        <v>0</v>
      </c>
      <c r="D10" s="2" t="e">
        <f>C10/L10*100</f>
        <v>#DIV/0!</v>
      </c>
      <c r="E10" s="2" t="e">
        <f>C10/$C$14*100</f>
        <v>#DIV/0!</v>
      </c>
      <c r="F10" s="2" t="e">
        <f>C10/$L$14*100</f>
        <v>#DIV/0!</v>
      </c>
      <c r="G10" s="2">
        <v>0</v>
      </c>
      <c r="H10" s="2" t="e">
        <f>G10/L10*100</f>
        <v>#DIV/0!</v>
      </c>
      <c r="I10" s="2" t="e">
        <f>G10/$G$14*100</f>
        <v>#DIV/0!</v>
      </c>
      <c r="J10" s="2" t="e">
        <f>G10/$L$14*100</f>
        <v>#DIV/0!</v>
      </c>
      <c r="K10" s="2" t="e">
        <f>F10+J10</f>
        <v>#DIV/0!</v>
      </c>
      <c r="L10" s="2">
        <f>C10+G10</f>
        <v>0</v>
      </c>
      <c r="M10" s="2" t="e">
        <f>H10-D10</f>
        <v>#DIV/0!</v>
      </c>
      <c r="N10" s="2" t="e">
        <f>C10/G10</f>
        <v>#DIV/0!</v>
      </c>
    </row>
    <row r="11" spans="1:14" customHeight="1" ht="26.25">
      <c r="B11" s="5" t="s">
        <v>130</v>
      </c>
      <c r="C11" s="2">
        <v>0</v>
      </c>
      <c r="D11" s="2" t="e">
        <f>C11/L11*100</f>
        <v>#DIV/0!</v>
      </c>
      <c r="E11" s="2" t="e">
        <f>C11/$C$14*100</f>
        <v>#DIV/0!</v>
      </c>
      <c r="F11" s="2" t="e">
        <f>C11/$L$14*100</f>
        <v>#DIV/0!</v>
      </c>
      <c r="G11" s="2">
        <v>0</v>
      </c>
      <c r="H11" s="2" t="e">
        <f>G11/L11*100</f>
        <v>#DIV/0!</v>
      </c>
      <c r="I11" s="2" t="e">
        <f>G11/$G$14*100</f>
        <v>#DIV/0!</v>
      </c>
      <c r="J11" s="2" t="e">
        <f>G11/$L$14*100</f>
        <v>#DIV/0!</v>
      </c>
      <c r="K11" s="2" t="e">
        <f>F11+J11</f>
        <v>#DIV/0!</v>
      </c>
      <c r="L11" s="2">
        <f>C11+G11</f>
        <v>0</v>
      </c>
      <c r="M11" s="2" t="e">
        <f>H11-D11</f>
        <v>#DIV/0!</v>
      </c>
      <c r="N11" s="2" t="e">
        <f>C11/G11</f>
        <v>#DIV/0!</v>
      </c>
    </row>
    <row r="12" spans="1:14" customHeight="1" ht="39">
      <c r="B12" s="5" t="s">
        <v>131</v>
      </c>
      <c r="C12" s="2">
        <v>0</v>
      </c>
      <c r="D12" s="2" t="e">
        <f>C12/L12*100</f>
        <v>#DIV/0!</v>
      </c>
      <c r="E12" s="2" t="e">
        <f>C12/$C$14*100</f>
        <v>#DIV/0!</v>
      </c>
      <c r="F12" s="2" t="e">
        <f>C12/$L$14*100</f>
        <v>#DIV/0!</v>
      </c>
      <c r="G12" s="2">
        <v>0</v>
      </c>
      <c r="H12" s="2" t="e">
        <f>G12/L12*100</f>
        <v>#DIV/0!</v>
      </c>
      <c r="I12" s="2" t="e">
        <f>G12/$G$14*100</f>
        <v>#DIV/0!</v>
      </c>
      <c r="J12" s="2" t="e">
        <f>G12/$L$14*100</f>
        <v>#DIV/0!</v>
      </c>
      <c r="K12" s="2" t="e">
        <f>F12+J12</f>
        <v>#DIV/0!</v>
      </c>
      <c r="L12" s="2">
        <f>C12+G12</f>
        <v>0</v>
      </c>
      <c r="M12" s="2" t="e">
        <f>H12-D12</f>
        <v>#DIV/0!</v>
      </c>
      <c r="N12" s="2" t="e">
        <f>C12/G12</f>
        <v>#DIV/0!</v>
      </c>
    </row>
    <row r="13" spans="1:14" customHeight="1" ht="39">
      <c r="B13" s="5" t="s">
        <v>132</v>
      </c>
      <c r="C13" s="2">
        <v>0</v>
      </c>
      <c r="D13" s="2" t="e">
        <f>C13/L13*100</f>
        <v>#DIV/0!</v>
      </c>
      <c r="E13" s="2" t="e">
        <f>C13/$C$14*100</f>
        <v>#DIV/0!</v>
      </c>
      <c r="F13" s="2" t="e">
        <f>C13/$L$14*100</f>
        <v>#DIV/0!</v>
      </c>
      <c r="G13" s="2">
        <v>0</v>
      </c>
      <c r="H13" s="2" t="e">
        <f>G13/L13*100</f>
        <v>#DIV/0!</v>
      </c>
      <c r="I13" s="2" t="e">
        <f>G13/$G$14*100</f>
        <v>#DIV/0!</v>
      </c>
      <c r="J13" s="2" t="e">
        <f>G13/$L$14*100</f>
        <v>#DIV/0!</v>
      </c>
      <c r="K13" s="2" t="e">
        <f>F13+J13</f>
        <v>#DIV/0!</v>
      </c>
      <c r="L13" s="2">
        <f>C13+G13</f>
        <v>0</v>
      </c>
      <c r="M13" s="2" t="e">
        <f>H13-D13</f>
        <v>#DIV/0!</v>
      </c>
      <c r="N13" s="2" t="e">
        <f>C13/G13</f>
        <v>#DIV/0!</v>
      </c>
    </row>
    <row r="14" spans="1:14">
      <c r="C14" s="2">
        <f>SUM(C3:C13)</f>
        <v>0</v>
      </c>
      <c r="D14" s="2"/>
      <c r="E14" s="2" t="e">
        <f>SUM(E3:E13)</f>
        <v>#DIV/0!</v>
      </c>
      <c r="F14" s="2" t="e">
        <f>SUM(F3:F13)</f>
        <v>#DIV/0!</v>
      </c>
      <c r="G14" s="2">
        <f>SUM(G3:G13)</f>
        <v>0</v>
      </c>
      <c r="H14" s="2"/>
      <c r="I14" s="2" t="e">
        <f>SUM(I3:I13)</f>
        <v>#DIV/0!</v>
      </c>
      <c r="J14" s="2" t="e">
        <f>SUM(J3:J13)</f>
        <v>#DIV/0!</v>
      </c>
      <c r="K14" s="2" t="e">
        <f>SUM(K3:K13)</f>
        <v>#DIV/0!</v>
      </c>
      <c r="L14" s="2">
        <f>SUM(L3:L13)</f>
        <v>0</v>
      </c>
      <c r="M14" s="2"/>
      <c r="N14" s="2"/>
    </row>
    <row r="16" spans="1:14">
      <c r="D16" s="12" t="s">
        <v>1</v>
      </c>
      <c r="E16" s="12" t="s">
        <v>3</v>
      </c>
    </row>
    <row r="17" spans="1:14" customHeight="1" ht="25.5">
      <c r="C17" s="7" t="s">
        <v>122</v>
      </c>
      <c r="D17" s="4">
        <f>C3</f>
        <v>0</v>
      </c>
      <c r="E17" s="4">
        <f>G3</f>
        <v>0</v>
      </c>
    </row>
    <row r="18" spans="1:14" customHeight="1" ht="25.5">
      <c r="C18" s="7" t="s">
        <v>123</v>
      </c>
      <c r="D18" s="4">
        <f>C4</f>
        <v>0</v>
      </c>
      <c r="E18" s="4">
        <f>G4</f>
        <v>0</v>
      </c>
    </row>
    <row r="19" spans="1:14" customHeight="1" ht="25.5">
      <c r="C19" s="7" t="s">
        <v>124</v>
      </c>
      <c r="D19" s="4">
        <f>C5</f>
        <v>0</v>
      </c>
      <c r="E19" s="4">
        <f>G5</f>
        <v>0</v>
      </c>
    </row>
    <row r="20" spans="1:14" customHeight="1" ht="25.5">
      <c r="C20" s="7" t="s">
        <v>125</v>
      </c>
      <c r="D20" s="4">
        <f>C6</f>
        <v>0</v>
      </c>
      <c r="E20" s="4">
        <f>G6</f>
        <v>0</v>
      </c>
    </row>
    <row r="21" spans="1:14" customHeight="1" ht="25.5">
      <c r="C21" s="7" t="s">
        <v>126</v>
      </c>
      <c r="D21" s="4">
        <f>C7</f>
        <v>0</v>
      </c>
      <c r="E21" s="4">
        <f>G7</f>
        <v>0</v>
      </c>
    </row>
    <row r="22" spans="1:14" customHeight="1" ht="25.5">
      <c r="C22" s="7" t="s">
        <v>127</v>
      </c>
      <c r="D22" s="4">
        <f>C8</f>
        <v>0</v>
      </c>
      <c r="E22" s="4">
        <f>G8</f>
        <v>0</v>
      </c>
    </row>
    <row r="23" spans="1:14" customHeight="1" ht="25.5">
      <c r="C23" s="7" t="s">
        <v>128</v>
      </c>
      <c r="D23" s="4">
        <f>C9</f>
        <v>0</v>
      </c>
      <c r="E23" s="4">
        <f>G9</f>
        <v>0</v>
      </c>
    </row>
    <row r="24" spans="1:14" customHeight="1" ht="25.5">
      <c r="C24" s="7" t="s">
        <v>129</v>
      </c>
      <c r="D24" s="4">
        <f>C10</f>
        <v>0</v>
      </c>
      <c r="E24" s="4">
        <f>G10</f>
        <v>0</v>
      </c>
    </row>
    <row r="25" spans="1:14" customHeight="1" ht="25.5">
      <c r="C25" s="7" t="s">
        <v>130</v>
      </c>
      <c r="D25" s="4">
        <f>C11</f>
        <v>0</v>
      </c>
      <c r="E25" s="4">
        <f>G11</f>
        <v>0</v>
      </c>
    </row>
    <row r="26" spans="1:14" customHeight="1" ht="38.25">
      <c r="C26" s="7" t="s">
        <v>131</v>
      </c>
      <c r="D26" s="4">
        <f>C12</f>
        <v>0</v>
      </c>
      <c r="E26" s="4">
        <f>G12</f>
        <v>0</v>
      </c>
    </row>
    <row r="27" spans="1:14" customHeight="1" ht="38.25">
      <c r="C27" s="7" t="s">
        <v>132</v>
      </c>
      <c r="D27" s="4">
        <f>C13</f>
        <v>0</v>
      </c>
      <c r="E27" s="4">
        <f>G13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6"/>
  <sheetViews>
    <sheetView tabSelected="0" workbookViewId="0" showGridLines="true" showRowColHeaders="1">
      <selection activeCell="C11" sqref="C11:E16"/>
    </sheetView>
  </sheetViews>
  <sheetFormatPr defaultRowHeight="14.4" outlineLevelRow="0" outlineLevelCol="0"/>
  <cols>
    <col min="1" max="1" width="6.85546875" customWidth="true" style="0"/>
    <col min="2" max="2" width="16.28515625" customWidth="true" style="0"/>
  </cols>
  <sheetData>
    <row r="3" spans="1:14" customHeight="1" ht="45">
      <c r="B3" s="11" t="s">
        <v>133</v>
      </c>
      <c r="C3" s="11" t="s">
        <v>1</v>
      </c>
      <c r="D3" s="11" t="s">
        <v>2</v>
      </c>
      <c r="E3" s="11" t="s">
        <v>9</v>
      </c>
      <c r="F3" s="11" t="s">
        <v>10</v>
      </c>
      <c r="G3" s="11" t="s">
        <v>3</v>
      </c>
      <c r="H3" s="11" t="s">
        <v>2</v>
      </c>
      <c r="I3" s="11" t="s">
        <v>9</v>
      </c>
      <c r="J3" s="11" t="s">
        <v>11</v>
      </c>
      <c r="K3" s="11" t="s">
        <v>12</v>
      </c>
      <c r="L3" s="11" t="s">
        <v>4</v>
      </c>
      <c r="M3" s="11" t="s">
        <v>5</v>
      </c>
      <c r="N3" s="11" t="s">
        <v>6</v>
      </c>
    </row>
    <row r="4" spans="1:14">
      <c r="B4" s="6" t="s">
        <v>134</v>
      </c>
      <c r="C4" s="2"/>
      <c r="D4" s="2" t="e">
        <f>C4/L4*100</f>
        <v>#DIV/0!</v>
      </c>
      <c r="E4" s="2" t="e">
        <f>C4/$C$9*100</f>
        <v>#DIV/0!</v>
      </c>
      <c r="F4" s="2" t="e">
        <f>C4/$L$9*100</f>
        <v>#DIV/0!</v>
      </c>
      <c r="G4" s="2"/>
      <c r="H4" s="2" t="e">
        <f>G4/L4*100</f>
        <v>#DIV/0!</v>
      </c>
      <c r="I4" s="2" t="e">
        <f>G4/$G$9*100</f>
        <v>#DIV/0!</v>
      </c>
      <c r="J4" s="2" t="e">
        <f>G4/$L$9*100</f>
        <v>#DIV/0!</v>
      </c>
      <c r="K4" s="2" t="e">
        <f>F4+J4</f>
        <v>#DIV/0!</v>
      </c>
      <c r="L4" s="2">
        <f>C4+G4</f>
        <v>0</v>
      </c>
      <c r="M4" s="2" t="e">
        <f>H4-D4</f>
        <v>#DIV/0!</v>
      </c>
      <c r="N4" s="2" t="e">
        <f>C4/G4</f>
        <v>#DIV/0!</v>
      </c>
    </row>
    <row r="5" spans="1:14">
      <c r="B5" s="6" t="s">
        <v>135</v>
      </c>
      <c r="C5" s="2"/>
      <c r="D5" s="2" t="e">
        <f>C5/L5*100</f>
        <v>#DIV/0!</v>
      </c>
      <c r="E5" s="2" t="e">
        <f>C5/$C$9*100</f>
        <v>#DIV/0!</v>
      </c>
      <c r="F5" s="2" t="e">
        <f>C5/$L$9*100</f>
        <v>#DIV/0!</v>
      </c>
      <c r="G5" s="2"/>
      <c r="H5" s="2" t="e">
        <f>G5/L5*100</f>
        <v>#DIV/0!</v>
      </c>
      <c r="I5" s="2" t="e">
        <f>G5/$G$9*100</f>
        <v>#DIV/0!</v>
      </c>
      <c r="J5" s="2" t="e">
        <f>G5/$L$9*100</f>
        <v>#DIV/0!</v>
      </c>
      <c r="K5" s="2" t="e">
        <f>F5+J5</f>
        <v>#DIV/0!</v>
      </c>
      <c r="L5" s="2">
        <f>C5+G5</f>
        <v>0</v>
      </c>
      <c r="M5" s="2" t="e">
        <f>H5-D5</f>
        <v>#DIV/0!</v>
      </c>
      <c r="N5" s="2" t="e">
        <f>C5/G5</f>
        <v>#DIV/0!</v>
      </c>
    </row>
    <row r="6" spans="1:14">
      <c r="B6" s="6" t="s">
        <v>136</v>
      </c>
      <c r="C6" s="2"/>
      <c r="D6" s="2" t="e">
        <f>C6/L6*100</f>
        <v>#DIV/0!</v>
      </c>
      <c r="E6" s="2" t="e">
        <f>C6/$C$9*100</f>
        <v>#DIV/0!</v>
      </c>
      <c r="F6" s="2" t="e">
        <f>C6/$L$9*100</f>
        <v>#DIV/0!</v>
      </c>
      <c r="G6" s="2"/>
      <c r="H6" s="2" t="e">
        <f>G6/L6*100</f>
        <v>#DIV/0!</v>
      </c>
      <c r="I6" s="2" t="e">
        <f>G6/$G$9*100</f>
        <v>#DIV/0!</v>
      </c>
      <c r="J6" s="2" t="e">
        <f>G6/$L$9*100</f>
        <v>#DIV/0!</v>
      </c>
      <c r="K6" s="2" t="e">
        <f>F6+J6</f>
        <v>#DIV/0!</v>
      </c>
      <c r="L6" s="2">
        <f>C6+G6</f>
        <v>0</v>
      </c>
      <c r="M6" s="2" t="e">
        <f>H6-D6</f>
        <v>#DIV/0!</v>
      </c>
      <c r="N6" s="2" t="e">
        <f>C6/G6</f>
        <v>#DIV/0!</v>
      </c>
    </row>
    <row r="7" spans="1:14">
      <c r="B7" s="6" t="s">
        <v>137</v>
      </c>
      <c r="C7" s="2"/>
      <c r="D7" s="2" t="e">
        <f>C7/L7*100</f>
        <v>#DIV/0!</v>
      </c>
      <c r="E7" s="2" t="e">
        <f>C7/$C$9*100</f>
        <v>#DIV/0!</v>
      </c>
      <c r="F7" s="2" t="e">
        <f>C7/$L$9*100</f>
        <v>#DIV/0!</v>
      </c>
      <c r="G7" s="2"/>
      <c r="H7" s="2" t="e">
        <f>G7/L7*100</f>
        <v>#DIV/0!</v>
      </c>
      <c r="I7" s="2" t="e">
        <f>G7/$G$9*100</f>
        <v>#DIV/0!</v>
      </c>
      <c r="J7" s="2" t="e">
        <f>G7/$L$9*100</f>
        <v>#DIV/0!</v>
      </c>
      <c r="K7" s="2" t="e">
        <f>F7+J7</f>
        <v>#DIV/0!</v>
      </c>
      <c r="L7" s="2">
        <f>C7+G7</f>
        <v>0</v>
      </c>
      <c r="M7" s="2" t="e">
        <f>H7-D7</f>
        <v>#DIV/0!</v>
      </c>
      <c r="N7" s="2" t="e">
        <f>C7/G7</f>
        <v>#DIV/0!</v>
      </c>
    </row>
    <row r="8" spans="1:14">
      <c r="B8" s="5" t="s">
        <v>138</v>
      </c>
      <c r="C8" s="2"/>
      <c r="D8" s="2" t="e">
        <f>C8/L8*100</f>
        <v>#DIV/0!</v>
      </c>
      <c r="E8" s="2" t="e">
        <f>C8/$C$9*100</f>
        <v>#DIV/0!</v>
      </c>
      <c r="F8" s="2" t="e">
        <f>C8/$L$9*100</f>
        <v>#DIV/0!</v>
      </c>
      <c r="G8" s="2"/>
      <c r="H8" s="2" t="e">
        <f>G8/L8*100</f>
        <v>#DIV/0!</v>
      </c>
      <c r="I8" s="2" t="e">
        <f>G8/$G$9*100</f>
        <v>#DIV/0!</v>
      </c>
      <c r="J8" s="2" t="e">
        <f>G8/$L$9*100</f>
        <v>#DIV/0!</v>
      </c>
      <c r="K8" s="2" t="e">
        <f>F8+J8</f>
        <v>#DIV/0!</v>
      </c>
      <c r="L8" s="2">
        <f>C8+G8</f>
        <v>0</v>
      </c>
      <c r="M8" s="2" t="e">
        <f>H8-D8</f>
        <v>#DIV/0!</v>
      </c>
      <c r="N8" s="2" t="e">
        <f>C8/G8</f>
        <v>#DIV/0!</v>
      </c>
    </row>
    <row r="9" spans="1:14">
      <c r="C9" s="2">
        <f>SUM(C4:C8)</f>
        <v>0</v>
      </c>
      <c r="D9" s="2"/>
      <c r="E9" s="2" t="e">
        <f>SUM(E4:E8)</f>
        <v>#DIV/0!</v>
      </c>
      <c r="F9" s="2" t="e">
        <f>SUM(F4:F8)</f>
        <v>#DIV/0!</v>
      </c>
      <c r="G9" s="2">
        <f>SUM(G4:G8)</f>
        <v>0</v>
      </c>
      <c r="H9" s="2"/>
      <c r="I9" s="2" t="e">
        <f>SUM(I4:I8)</f>
        <v>#DIV/0!</v>
      </c>
      <c r="J9" s="2" t="e">
        <f>SUM(J4:J8)</f>
        <v>#DIV/0!</v>
      </c>
      <c r="K9" s="2" t="e">
        <f>SUM(K4:K8)</f>
        <v>#DIV/0!</v>
      </c>
      <c r="L9" s="2">
        <f>SUM(L4:L8)</f>
        <v>0</v>
      </c>
      <c r="M9" s="2"/>
      <c r="N9" s="2"/>
    </row>
    <row r="11" spans="1:14">
      <c r="D11" s="14" t="s">
        <v>1</v>
      </c>
      <c r="E11" s="14" t="s">
        <v>3</v>
      </c>
    </row>
    <row r="12" spans="1:14">
      <c r="C12" s="8" t="s">
        <v>134</v>
      </c>
      <c r="D12" s="2">
        <f>C4</f>
        <v>0</v>
      </c>
      <c r="E12" s="2">
        <f>G4</f>
        <v>0</v>
      </c>
    </row>
    <row r="13" spans="1:14" customHeight="1" ht="25.5">
      <c r="C13" s="8" t="s">
        <v>135</v>
      </c>
      <c r="D13" s="2">
        <f>C5</f>
        <v>0</v>
      </c>
      <c r="E13" s="2">
        <f>G5</f>
        <v>0</v>
      </c>
    </row>
    <row r="14" spans="1:14" customHeight="1" ht="25.5">
      <c r="C14" s="8" t="s">
        <v>136</v>
      </c>
      <c r="D14" s="2">
        <f>C6</f>
        <v>0</v>
      </c>
      <c r="E14" s="2">
        <f>G6</f>
        <v>0</v>
      </c>
    </row>
    <row r="15" spans="1:14" customHeight="1" ht="25.5">
      <c r="C15" s="8" t="s">
        <v>137</v>
      </c>
      <c r="D15" s="2">
        <f>C7</f>
        <v>0</v>
      </c>
      <c r="E15" s="2">
        <f>G7</f>
        <v>0</v>
      </c>
    </row>
    <row r="16" spans="1:14" customHeight="1" ht="26.25">
      <c r="C16" s="9" t="s">
        <v>138</v>
      </c>
      <c r="D16" s="2">
        <f>C8</f>
        <v>0</v>
      </c>
      <c r="E16" s="2">
        <f>G8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7030A0"/>
    <outlinePr summaryBelow="1" summaryRight="1"/>
  </sheetPr>
  <dimension ref="A1:N29"/>
  <sheetViews>
    <sheetView tabSelected="0" workbookViewId="0" showGridLines="true" showRowColHeaders="1">
      <selection activeCell="C17" sqref="C17:E29"/>
    </sheetView>
  </sheetViews>
  <sheetFormatPr defaultRowHeight="14.4" outlineLevelRow="0" outlineLevelCol="0"/>
  <cols>
    <col min="1" max="1" width="5.28515625" customWidth="true" style="0"/>
    <col min="2" max="2" width="15.140625" customWidth="true" style="0"/>
    <col min="3" max="3" width="15.140625" customWidth="true" style="0"/>
  </cols>
  <sheetData>
    <row r="2" spans="1:14" customHeight="1" ht="45">
      <c r="B2" s="11" t="s">
        <v>8</v>
      </c>
      <c r="C2" s="11" t="s">
        <v>1</v>
      </c>
      <c r="D2" s="11" t="s">
        <v>2</v>
      </c>
      <c r="E2" s="11" t="s">
        <v>9</v>
      </c>
      <c r="F2" s="11" t="s">
        <v>10</v>
      </c>
      <c r="G2" s="11" t="s">
        <v>3</v>
      </c>
      <c r="H2" s="11" t="s">
        <v>2</v>
      </c>
      <c r="I2" s="11" t="s">
        <v>9</v>
      </c>
      <c r="J2" s="11" t="s">
        <v>11</v>
      </c>
      <c r="K2" s="11" t="s">
        <v>12</v>
      </c>
      <c r="L2" s="11" t="s">
        <v>4</v>
      </c>
      <c r="M2" s="11" t="s">
        <v>5</v>
      </c>
      <c r="N2" s="11" t="s">
        <v>6</v>
      </c>
    </row>
    <row r="3" spans="1:14">
      <c r="B3" s="3" t="s">
        <v>13</v>
      </c>
      <c r="C3" s="2">
        <v>9</v>
      </c>
      <c r="D3" s="2">
        <f>C3/L3*100</f>
        <v>81.81818181818183</v>
      </c>
      <c r="E3" s="2">
        <f>C3/$C$15*100</f>
        <v>2.7190332326284</v>
      </c>
      <c r="F3" s="2">
        <f>C3/$L$15*100</f>
        <v>2.31958762886598</v>
      </c>
      <c r="G3" s="2">
        <v>2</v>
      </c>
      <c r="H3" s="2">
        <f>G3/L3*100</f>
        <v>18.18181818181818</v>
      </c>
      <c r="I3" s="2">
        <f>G3/$G$15*100</f>
        <v>3.50877192982456</v>
      </c>
      <c r="J3" s="2">
        <f>G3/$L$15*100</f>
        <v>0.51546391752577</v>
      </c>
      <c r="K3" s="2">
        <f>F3+J3</f>
        <v>2.83505154639175</v>
      </c>
      <c r="L3" s="2">
        <f>C3+G3</f>
        <v>11</v>
      </c>
      <c r="M3" s="2">
        <f>H3-D3</f>
        <v>-63.63636363636364</v>
      </c>
      <c r="N3" s="2">
        <f>C3/G3</f>
        <v>4.5</v>
      </c>
    </row>
    <row r="4" spans="1:14">
      <c r="B4" s="3" t="s">
        <v>14</v>
      </c>
      <c r="C4" s="2">
        <v>32</v>
      </c>
      <c r="D4" s="2">
        <f>C4/L4*100</f>
        <v>78.048780487804876</v>
      </c>
      <c r="E4" s="2">
        <f>C4/$C$15*100</f>
        <v>9.66767371601208</v>
      </c>
      <c r="F4" s="2">
        <f>C4/$L$15*100</f>
        <v>8.24742268041237</v>
      </c>
      <c r="G4" s="2">
        <v>9</v>
      </c>
      <c r="H4" s="2">
        <f>G4/L4*100</f>
        <v>21.95121951219512</v>
      </c>
      <c r="I4" s="2">
        <f>G4/$G$15*100</f>
        <v>15.78947368421053</v>
      </c>
      <c r="J4" s="2">
        <f>G4/$L$15*100</f>
        <v>2.31958762886598</v>
      </c>
      <c r="K4" s="2">
        <f>F4+J4</f>
        <v>10.56701030927835</v>
      </c>
      <c r="L4" s="2">
        <f>C4+G4</f>
        <v>41</v>
      </c>
      <c r="M4" s="2">
        <f>H4-D4</f>
        <v>-56.097560975609753</v>
      </c>
      <c r="N4" s="2">
        <f>C4/G4</f>
        <v>3.55555555555556</v>
      </c>
    </row>
    <row r="5" spans="1:14">
      <c r="B5" s="3" t="s">
        <v>15</v>
      </c>
      <c r="C5" s="2">
        <v>43</v>
      </c>
      <c r="D5" s="2">
        <f>C5/L5*100</f>
        <v>78.18181818181819</v>
      </c>
      <c r="E5" s="2">
        <f>C5/$C$15*100</f>
        <v>12.99093655589124</v>
      </c>
      <c r="F5" s="2">
        <f>C5/$L$15*100</f>
        <v>11.082474226804123</v>
      </c>
      <c r="G5" s="2">
        <v>12</v>
      </c>
      <c r="H5" s="2">
        <f>G5/L5*100</f>
        <v>21.81818181818182</v>
      </c>
      <c r="I5" s="2">
        <f>G5/$G$15*100</f>
        <v>21.052631578947366</v>
      </c>
      <c r="J5" s="2">
        <f>G5/$L$15*100</f>
        <v>3.092783505154639</v>
      </c>
      <c r="K5" s="2">
        <f>F5+J5</f>
        <v>14.17525773195876</v>
      </c>
      <c r="L5" s="2">
        <f>C5+G5</f>
        <v>55</v>
      </c>
      <c r="M5" s="2">
        <f>H5-D5</f>
        <v>-56.36363636363637</v>
      </c>
      <c r="N5" s="2">
        <f>C5/G5</f>
        <v>3.58333333333333</v>
      </c>
    </row>
    <row r="6" spans="1:14">
      <c r="B6" s="3" t="s">
        <v>16</v>
      </c>
      <c r="C6" s="2">
        <v>42</v>
      </c>
      <c r="D6" s="2">
        <f>C6/L6*100</f>
        <v>79.24528301886792</v>
      </c>
      <c r="E6" s="2">
        <f>C6/$C$15*100</f>
        <v>12.68882175226586</v>
      </c>
      <c r="F6" s="2">
        <f>C6/$L$15*100</f>
        <v>10.82474226804124</v>
      </c>
      <c r="G6" s="2">
        <v>11</v>
      </c>
      <c r="H6" s="2">
        <f>G6/L6*100</f>
        <v>20.75471698113208</v>
      </c>
      <c r="I6" s="2">
        <f>G6/$G$15*100</f>
        <v>19.29824561403509</v>
      </c>
      <c r="J6" s="2">
        <f>G6/$L$15*100</f>
        <v>2.83505154639175</v>
      </c>
      <c r="K6" s="2">
        <f>F6+J6</f>
        <v>13.65979381443299</v>
      </c>
      <c r="L6" s="2">
        <f>C6+G6</f>
        <v>53</v>
      </c>
      <c r="M6" s="2">
        <f>H6-D6</f>
        <v>-58.49056603773585</v>
      </c>
      <c r="N6" s="2">
        <f>C6/G6</f>
        <v>3.81818181818182</v>
      </c>
    </row>
    <row r="7" spans="1:14">
      <c r="B7" s="3" t="s">
        <v>17</v>
      </c>
      <c r="C7" s="2">
        <v>44</v>
      </c>
      <c r="D7" s="2">
        <f>C7/L7*100</f>
        <v>91.66666666666666</v>
      </c>
      <c r="E7" s="2">
        <f>C7/$C$15*100</f>
        <v>13.29305135951662</v>
      </c>
      <c r="F7" s="2">
        <f>C7/$L$15*100</f>
        <v>11.34020618556701</v>
      </c>
      <c r="G7" s="2">
        <v>4</v>
      </c>
      <c r="H7" s="2">
        <f>G7/L7*100</f>
        <v>8.33333333333333</v>
      </c>
      <c r="I7" s="2">
        <f>G7/$G$15*100</f>
        <v>7.017543859649122</v>
      </c>
      <c r="J7" s="2">
        <f>G7/$L$15*100</f>
        <v>1.030927835051546</v>
      </c>
      <c r="K7" s="2">
        <f>F7+J7</f>
        <v>12.37113402061856</v>
      </c>
      <c r="L7" s="2">
        <f>C7+G7</f>
        <v>48</v>
      </c>
      <c r="M7" s="2">
        <f>H7-D7</f>
        <v>-83.33333333333333</v>
      </c>
      <c r="N7" s="2">
        <f>C7/G7</f>
        <v>11</v>
      </c>
    </row>
    <row r="8" spans="1:14">
      <c r="B8" s="3" t="s">
        <v>18</v>
      </c>
      <c r="C8" s="2">
        <v>37</v>
      </c>
      <c r="D8" s="2">
        <f>C8/L8*100</f>
        <v>86.04651162790698</v>
      </c>
      <c r="E8" s="2">
        <f>C8/$C$15*100</f>
        <v>11.17824773413897</v>
      </c>
      <c r="F8" s="2">
        <f>C8/$L$15*100</f>
        <v>9.5360824742268</v>
      </c>
      <c r="G8" s="2">
        <v>6</v>
      </c>
      <c r="H8" s="2">
        <f>G8/L8*100</f>
        <v>13.95348837209302</v>
      </c>
      <c r="I8" s="2">
        <f>G8/$G$15*100</f>
        <v>10.52631578947368</v>
      </c>
      <c r="J8" s="2">
        <f>G8/$L$15*100</f>
        <v>1.54639175257732</v>
      </c>
      <c r="K8" s="2">
        <f>F8+J8</f>
        <v>11.082474226804123</v>
      </c>
      <c r="L8" s="2">
        <f>C8+G8</f>
        <v>43</v>
      </c>
      <c r="M8" s="2">
        <f>H8-D8</f>
        <v>-72.093023255813961</v>
      </c>
      <c r="N8" s="2">
        <f>C8/G8</f>
        <v>6.16666666666667</v>
      </c>
    </row>
    <row r="9" spans="1:14">
      <c r="B9" s="3" t="s">
        <v>19</v>
      </c>
      <c r="C9" s="2">
        <v>41</v>
      </c>
      <c r="D9" s="2">
        <f>C9/L9*100</f>
        <v>89.13043478260869</v>
      </c>
      <c r="E9" s="2">
        <f>C9/$C$15*100</f>
        <v>12.38670694864048</v>
      </c>
      <c r="F9" s="2">
        <f>C9/$L$15*100</f>
        <v>10.56701030927835</v>
      </c>
      <c r="G9" s="2">
        <v>5</v>
      </c>
      <c r="H9" s="2">
        <f>G9/L9*100</f>
        <v>10.8695652173913</v>
      </c>
      <c r="I9" s="2">
        <f>G9/$G$15*100</f>
        <v>8.7719298245614</v>
      </c>
      <c r="J9" s="2">
        <f>G9/$L$15*100</f>
        <v>1.28865979381443</v>
      </c>
      <c r="K9" s="2">
        <f>F9+J9</f>
        <v>11.85567010309278</v>
      </c>
      <c r="L9" s="2">
        <f>C9+G9</f>
        <v>46</v>
      </c>
      <c r="M9" s="2">
        <f>H9-D9</f>
        <v>-78.26086956521738</v>
      </c>
      <c r="N9" s="2">
        <f>C9/G9</f>
        <v>8.2</v>
      </c>
    </row>
    <row r="10" spans="1:14">
      <c r="B10" s="3" t="s">
        <v>20</v>
      </c>
      <c r="C10" s="2">
        <v>39</v>
      </c>
      <c r="D10" s="2">
        <f>C10/L10*100</f>
        <v>95.1219512195122</v>
      </c>
      <c r="E10" s="2">
        <f>C10/$C$15*100</f>
        <v>11.78247734138973</v>
      </c>
      <c r="F10" s="2">
        <f>C10/$L$15*100</f>
        <v>10.051546391752577</v>
      </c>
      <c r="G10" s="2">
        <v>2</v>
      </c>
      <c r="H10" s="2">
        <f>G10/L10*100</f>
        <v>4.8780487804878</v>
      </c>
      <c r="I10" s="2">
        <f>G10/$G$15*100</f>
        <v>3.50877192982456</v>
      </c>
      <c r="J10" s="2">
        <f>G10/$L$15*100</f>
        <v>0.51546391752577</v>
      </c>
      <c r="K10" s="2">
        <f>F10+J10</f>
        <v>10.56701030927835</v>
      </c>
      <c r="L10" s="2">
        <f>C10+G10</f>
        <v>41</v>
      </c>
      <c r="M10" s="2">
        <f>H10-D10</f>
        <v>-90.2439024390244</v>
      </c>
      <c r="N10" s="2">
        <f>C10/G10</f>
        <v>19.5</v>
      </c>
    </row>
    <row r="11" spans="1:14">
      <c r="B11" s="3" t="s">
        <v>21</v>
      </c>
      <c r="C11" s="2">
        <v>33</v>
      </c>
      <c r="D11" s="2">
        <f>C11/L11*100</f>
        <v>86.8421052631579</v>
      </c>
      <c r="E11" s="2">
        <f>C11/$C$15*100</f>
        <v>9.96978851963746</v>
      </c>
      <c r="F11" s="2">
        <f>C11/$L$15*100</f>
        <v>8.50515463917526</v>
      </c>
      <c r="G11" s="2">
        <v>5</v>
      </c>
      <c r="H11" s="2">
        <f>G11/L11*100</f>
        <v>13.1578947368421</v>
      </c>
      <c r="I11" s="2">
        <f>G11/$G$15*100</f>
        <v>8.7719298245614</v>
      </c>
      <c r="J11" s="2">
        <f>G11/$L$15*100</f>
        <v>1.28865979381443</v>
      </c>
      <c r="K11" s="2">
        <f>F11+J11</f>
        <v>9.79381443298969</v>
      </c>
      <c r="L11" s="2">
        <f>C11+G11</f>
        <v>38</v>
      </c>
      <c r="M11" s="2">
        <f>H11-D11</f>
        <v>-73.68421052631579</v>
      </c>
      <c r="N11" s="2">
        <f>C11/G11</f>
        <v>6.6</v>
      </c>
    </row>
    <row r="12" spans="1:14">
      <c r="B12" s="3" t="s">
        <v>139</v>
      </c>
      <c r="C12" s="2">
        <v>4</v>
      </c>
      <c r="D12" s="2">
        <f>C12/L12*100</f>
        <v>100</v>
      </c>
      <c r="E12" s="2">
        <f>C12/$C$15*100</f>
        <v>1.20845921450151</v>
      </c>
      <c r="F12" s="2">
        <f>C12/$L$15*100</f>
        <v>1.030927835051546</v>
      </c>
      <c r="G12" s="2">
        <v>0</v>
      </c>
      <c r="H12" s="2">
        <f>G12/L12*100</f>
        <v>0</v>
      </c>
      <c r="I12" s="2">
        <f>G12/$G$15*100</f>
        <v>0</v>
      </c>
      <c r="J12" s="2">
        <f>G12/$L$15*100</f>
        <v>0</v>
      </c>
      <c r="K12" s="2">
        <f>F12+J12</f>
        <v>1.030927835051546</v>
      </c>
      <c r="L12" s="2">
        <f>C12+G12</f>
        <v>4</v>
      </c>
      <c r="M12" s="2">
        <f>H12-D12</f>
        <v>-100</v>
      </c>
      <c r="N12" s="2" t="e">
        <f>C12/G12</f>
        <v>#DIV/0!</v>
      </c>
    </row>
    <row r="13" spans="1:14">
      <c r="B13" s="3" t="s">
        <v>23</v>
      </c>
      <c r="C13" s="2">
        <v>4</v>
      </c>
      <c r="D13" s="2">
        <f>C13/L13*100</f>
        <v>80</v>
      </c>
      <c r="E13" s="2">
        <f>C13/$C$15*100</f>
        <v>1.20845921450151</v>
      </c>
      <c r="F13" s="2">
        <f>C13/$L$15*100</f>
        <v>1.030927835051546</v>
      </c>
      <c r="G13" s="2">
        <v>1</v>
      </c>
      <c r="H13" s="2">
        <f>G13/L13*100</f>
        <v>20</v>
      </c>
      <c r="I13" s="2">
        <f>G13/$G$15*100</f>
        <v>1.75438596491228</v>
      </c>
      <c r="J13" s="2">
        <f>G13/$L$15*100</f>
        <v>0.25773195876289</v>
      </c>
      <c r="K13" s="2">
        <f>F13+J13</f>
        <v>1.28865979381443</v>
      </c>
      <c r="L13" s="2">
        <f>C13+G13</f>
        <v>5</v>
      </c>
      <c r="M13" s="2">
        <f>H13-D13</f>
        <v>-60</v>
      </c>
      <c r="N13" s="2">
        <f>C13/G13</f>
        <v>4</v>
      </c>
    </row>
    <row r="14" spans="1:14">
      <c r="B14" s="3" t="s">
        <v>24</v>
      </c>
      <c r="C14" s="2">
        <v>3</v>
      </c>
      <c r="D14" s="2">
        <f>C14/L14*100</f>
        <v>100</v>
      </c>
      <c r="E14" s="2">
        <f>C14/$C$15*100</f>
        <v>0.90634441087613</v>
      </c>
      <c r="F14" s="2">
        <f>C14/$L$15*100</f>
        <v>0.77319587628866</v>
      </c>
      <c r="G14" s="2">
        <v>0</v>
      </c>
      <c r="H14" s="2">
        <f>G14/L14*100</f>
        <v>0</v>
      </c>
      <c r="I14" s="2">
        <f>G14/$G$15*100</f>
        <v>0</v>
      </c>
      <c r="J14" s="2">
        <f>G14/$L$15*100</f>
        <v>0</v>
      </c>
      <c r="K14" s="2">
        <f>F14+J14</f>
        <v>0.77319587628866</v>
      </c>
      <c r="L14" s="2">
        <f>C14+G14</f>
        <v>3</v>
      </c>
      <c r="M14" s="2">
        <f>H14-D14</f>
        <v>-100</v>
      </c>
      <c r="N14" s="2" t="e">
        <f>C14/G14</f>
        <v>#DIV/0!</v>
      </c>
    </row>
    <row r="15" spans="1:14">
      <c r="C15" s="2">
        <f>SUM(C3:C14)</f>
        <v>331</v>
      </c>
      <c r="D15" s="2"/>
      <c r="E15" s="2">
        <f>SUM(E3:E14)</f>
        <v>100</v>
      </c>
      <c r="F15" s="2">
        <f>SUM(F3:F14)</f>
        <v>85.30927835051546</v>
      </c>
      <c r="G15" s="2">
        <f>SUM(G3:G14)</f>
        <v>57</v>
      </c>
      <c r="H15" s="2"/>
      <c r="I15" s="2">
        <f>SUM(I3:I14)</f>
        <v>99.99999999999997</v>
      </c>
      <c r="J15" s="2">
        <f>SUM(J3:J14)</f>
        <v>14.69072164948454</v>
      </c>
      <c r="K15" s="2">
        <f>SUM(K3:K14)</f>
        <v>99.99999999999997</v>
      </c>
      <c r="L15" s="2">
        <f>SUM(L3:L14)</f>
        <v>388</v>
      </c>
      <c r="M15" s="2"/>
      <c r="N15" s="2"/>
    </row>
    <row r="17" spans="1:14">
      <c r="D17" s="14" t="s">
        <v>1</v>
      </c>
      <c r="E17" s="14" t="s">
        <v>3</v>
      </c>
    </row>
    <row r="18" spans="1:14">
      <c r="C18" s="10" t="s">
        <v>13</v>
      </c>
      <c r="D18" s="2">
        <f>C3</f>
        <v>9</v>
      </c>
      <c r="E18" s="2">
        <f>G3</f>
        <v>2</v>
      </c>
    </row>
    <row r="19" spans="1:14">
      <c r="C19" s="10" t="s">
        <v>14</v>
      </c>
      <c r="D19" s="2">
        <f>C4</f>
        <v>32</v>
      </c>
      <c r="E19" s="2">
        <f>G4</f>
        <v>9</v>
      </c>
    </row>
    <row r="20" spans="1:14">
      <c r="C20" s="10" t="s">
        <v>15</v>
      </c>
      <c r="D20" s="2">
        <f>C5</f>
        <v>43</v>
      </c>
      <c r="E20" s="2">
        <f>G5</f>
        <v>12</v>
      </c>
    </row>
    <row r="21" spans="1:14">
      <c r="C21" s="10" t="s">
        <v>16</v>
      </c>
      <c r="D21" s="2">
        <f>C6</f>
        <v>42</v>
      </c>
      <c r="E21" s="2">
        <f>G6</f>
        <v>11</v>
      </c>
    </row>
    <row r="22" spans="1:14">
      <c r="C22" s="10" t="s">
        <v>17</v>
      </c>
      <c r="D22" s="2">
        <f>C7</f>
        <v>44</v>
      </c>
      <c r="E22" s="2">
        <f>G7</f>
        <v>4</v>
      </c>
    </row>
    <row r="23" spans="1:14">
      <c r="C23" s="10" t="s">
        <v>18</v>
      </c>
      <c r="D23" s="2">
        <f>C8</f>
        <v>37</v>
      </c>
      <c r="E23" s="2">
        <f>G8</f>
        <v>6</v>
      </c>
    </row>
    <row r="24" spans="1:14">
      <c r="C24" s="10" t="s">
        <v>19</v>
      </c>
      <c r="D24" s="2">
        <f>C9</f>
        <v>41</v>
      </c>
      <c r="E24" s="2">
        <f>G9</f>
        <v>5</v>
      </c>
    </row>
    <row r="25" spans="1:14">
      <c r="C25" s="10" t="s">
        <v>20</v>
      </c>
      <c r="D25" s="2">
        <f>C10</f>
        <v>39</v>
      </c>
      <c r="E25" s="2">
        <f>G10</f>
        <v>2</v>
      </c>
    </row>
    <row r="26" spans="1:14">
      <c r="C26" s="10" t="s">
        <v>21</v>
      </c>
      <c r="D26" s="2">
        <f>C11</f>
        <v>33</v>
      </c>
      <c r="E26" s="2">
        <f>G11</f>
        <v>5</v>
      </c>
    </row>
    <row r="27" spans="1:14">
      <c r="C27" s="10" t="s">
        <v>139</v>
      </c>
      <c r="D27" s="2">
        <f>C12</f>
        <v>4</v>
      </c>
      <c r="E27" s="2">
        <f>G12</f>
        <v>0</v>
      </c>
    </row>
    <row r="28" spans="1:14">
      <c r="C28" s="10" t="s">
        <v>23</v>
      </c>
      <c r="D28" s="2">
        <f>C13</f>
        <v>4</v>
      </c>
      <c r="E28" s="2">
        <f>G13</f>
        <v>1</v>
      </c>
    </row>
    <row r="29" spans="1:14">
      <c r="C29" s="10" t="s">
        <v>24</v>
      </c>
      <c r="D29" s="2">
        <f>C14</f>
        <v>3</v>
      </c>
      <c r="E29" s="2">
        <f>G14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7030A0"/>
    <outlinePr summaryBelow="1" summaryRight="1"/>
  </sheetPr>
  <dimension ref="A1:N16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7" customWidth="true" style="0"/>
    <col min="2" max="2" width="15.28515625" customWidth="true" style="0"/>
  </cols>
  <sheetData>
    <row r="2" spans="1:14" customHeight="1" ht="45">
      <c r="B2" s="11" t="s">
        <v>41</v>
      </c>
      <c r="C2" s="11" t="s">
        <v>1</v>
      </c>
      <c r="D2" s="11" t="s">
        <v>2</v>
      </c>
      <c r="E2" s="11" t="s">
        <v>9</v>
      </c>
      <c r="F2" s="11" t="s">
        <v>10</v>
      </c>
      <c r="G2" s="11" t="s">
        <v>3</v>
      </c>
      <c r="H2" s="11" t="s">
        <v>2</v>
      </c>
      <c r="I2" s="11" t="s">
        <v>9</v>
      </c>
      <c r="J2" s="11" t="s">
        <v>11</v>
      </c>
      <c r="K2" s="11" t="s">
        <v>12</v>
      </c>
      <c r="L2" s="11" t="s">
        <v>4</v>
      </c>
      <c r="M2" s="11" t="s">
        <v>5</v>
      </c>
      <c r="N2" s="11" t="s">
        <v>6</v>
      </c>
    </row>
    <row r="3" spans="1:14" customHeight="1" ht="26.25">
      <c r="B3" s="5" t="s">
        <v>42</v>
      </c>
      <c r="C3" s="2">
        <v>55</v>
      </c>
      <c r="D3" s="2">
        <f>C3/L3*100</f>
        <v>88.70967741935483</v>
      </c>
      <c r="E3" s="2">
        <f>C3/$C$8*100</f>
        <v>16.32047477744807</v>
      </c>
      <c r="F3" s="2">
        <f>C3/$L$8*100</f>
        <v>13.7844611528822</v>
      </c>
      <c r="G3" s="2">
        <v>7</v>
      </c>
      <c r="H3" s="2">
        <f>G3/L3*100</f>
        <v>11.29032258064516</v>
      </c>
      <c r="I3" s="2">
        <f>G3/$G$8*100</f>
        <v>11.29032258064516</v>
      </c>
      <c r="J3" s="2">
        <f>G3/$L$8*100</f>
        <v>1.75438596491228</v>
      </c>
      <c r="K3" s="2">
        <f>F3+J3</f>
        <v>15.53884711779449</v>
      </c>
      <c r="L3" s="2">
        <f>C3+G3</f>
        <v>62</v>
      </c>
      <c r="M3" s="2">
        <f>H3-D3</f>
        <v>-77.41935483870967</v>
      </c>
      <c r="N3" s="2">
        <f>C3/G3</f>
        <v>7.85714285714286</v>
      </c>
    </row>
    <row r="4" spans="1:14" customHeight="1" ht="26.25">
      <c r="B4" s="5" t="s">
        <v>43</v>
      </c>
      <c r="C4" s="2">
        <v>6</v>
      </c>
      <c r="D4" s="2">
        <f>C4/L4*100</f>
        <v>85.71428571428571</v>
      </c>
      <c r="E4" s="2">
        <f>C4/$C$8*100</f>
        <v>1.78041543026706</v>
      </c>
      <c r="F4" s="2">
        <f>C4/$L$8*100</f>
        <v>1.50375939849624</v>
      </c>
      <c r="G4" s="2">
        <v>1</v>
      </c>
      <c r="H4" s="2">
        <f>G4/L4*100</f>
        <v>14.28571428571428</v>
      </c>
      <c r="I4" s="2">
        <f>G4/$G$8*100</f>
        <v>1.61290322580645</v>
      </c>
      <c r="J4" s="2">
        <f>G4/$L$8*100</f>
        <v>0.25062656641604</v>
      </c>
      <c r="K4" s="2">
        <f>F4+J4</f>
        <v>1.75438596491228</v>
      </c>
      <c r="L4" s="2">
        <f>C4+G4</f>
        <v>7</v>
      </c>
      <c r="M4" s="2">
        <f>H4-D4</f>
        <v>-71.42857142857142</v>
      </c>
      <c r="N4" s="2">
        <f>C4/G4</f>
        <v>6</v>
      </c>
    </row>
    <row r="5" spans="1:14">
      <c r="B5" s="5" t="s">
        <v>44</v>
      </c>
      <c r="C5" s="2">
        <v>0</v>
      </c>
      <c r="D5" s="2" t="e">
        <f>C5/L5*100</f>
        <v>#DIV/0!</v>
      </c>
      <c r="E5" s="2">
        <f>C5/$C$8*100</f>
        <v>0</v>
      </c>
      <c r="F5" s="2">
        <f>C5/$L$8*100</f>
        <v>0</v>
      </c>
      <c r="G5" s="2">
        <v>0</v>
      </c>
      <c r="H5" s="2" t="e">
        <f>G5/L5*100</f>
        <v>#DIV/0!</v>
      </c>
      <c r="I5" s="2">
        <f>G5/$G$8*100</f>
        <v>0</v>
      </c>
      <c r="J5" s="2">
        <f>G5/$L$8*100</f>
        <v>0</v>
      </c>
      <c r="K5" s="2">
        <f>F5+J5</f>
        <v>0</v>
      </c>
      <c r="L5" s="2">
        <f>C5+G5</f>
        <v>0</v>
      </c>
      <c r="M5" s="2" t="e">
        <f>H5-D5</f>
        <v>#DIV/0!</v>
      </c>
      <c r="N5" s="2" t="e">
        <f>C5/G5</f>
        <v>#DIV/0!</v>
      </c>
    </row>
    <row r="6" spans="1:14" customHeight="1" ht="38.25">
      <c r="B6" s="6" t="s">
        <v>45</v>
      </c>
      <c r="C6" s="2">
        <v>218</v>
      </c>
      <c r="D6" s="2">
        <f>C6/L6*100</f>
        <v>85.15625</v>
      </c>
      <c r="E6" s="2">
        <f>C6/$C$8*100</f>
        <v>64.68842729970326</v>
      </c>
      <c r="F6" s="2">
        <f>C6/$L$8*100</f>
        <v>54.63659147869674</v>
      </c>
      <c r="G6" s="2">
        <v>38</v>
      </c>
      <c r="H6" s="2">
        <f>G6/L6*100</f>
        <v>14.84375</v>
      </c>
      <c r="I6" s="2">
        <f>G6/$G$8*100</f>
        <v>61.29032258064516</v>
      </c>
      <c r="J6" s="2">
        <f>G6/$L$8*100</f>
        <v>9.52380952380952</v>
      </c>
      <c r="K6" s="2">
        <f>F6+J6</f>
        <v>64.16040100250626</v>
      </c>
      <c r="L6" s="2">
        <f>C6+G6</f>
        <v>256</v>
      </c>
      <c r="M6" s="2">
        <f>H6-D6</f>
        <v>-70.3125</v>
      </c>
      <c r="N6" s="2">
        <f>C6/G6</f>
        <v>5.73684210526316</v>
      </c>
    </row>
    <row r="7" spans="1:14" customHeight="1" ht="39">
      <c r="B7" s="5" t="s">
        <v>46</v>
      </c>
      <c r="C7" s="2">
        <v>58</v>
      </c>
      <c r="D7" s="2">
        <f>C7/L7*100</f>
        <v>78.37837837837837</v>
      </c>
      <c r="E7" s="2">
        <f>C7/$C$8*100</f>
        <v>17.2106824925816</v>
      </c>
      <c r="F7" s="2">
        <f>C7/$L$8*100</f>
        <v>14.53634085213032</v>
      </c>
      <c r="G7" s="2">
        <v>16</v>
      </c>
      <c r="H7" s="2">
        <f>G7/L7*100</f>
        <v>21.62162162162162</v>
      </c>
      <c r="I7" s="2">
        <f>G7/$G$8*100</f>
        <v>25.80645161290322</v>
      </c>
      <c r="J7" s="2">
        <f>G7/$L$8*100</f>
        <v>4.010025062656641</v>
      </c>
      <c r="K7" s="2">
        <f>F7+J7</f>
        <v>18.54636591478697</v>
      </c>
      <c r="L7" s="2">
        <f>C7+G7</f>
        <v>74</v>
      </c>
      <c r="M7" s="2">
        <f>H7-D7</f>
        <v>-56.75675675675675</v>
      </c>
      <c r="N7" s="2">
        <f>C7/G7</f>
        <v>3.625</v>
      </c>
    </row>
    <row r="8" spans="1:14">
      <c r="C8" s="2">
        <v>337</v>
      </c>
      <c r="D8" s="2"/>
      <c r="E8" s="2">
        <f>SUM(E3:E7)</f>
        <v>100</v>
      </c>
      <c r="F8" s="2">
        <f>SUM(F3:F7)</f>
        <v>84.46115288220551</v>
      </c>
      <c r="G8" s="2">
        <v>62</v>
      </c>
      <c r="H8" s="2"/>
      <c r="I8" s="2">
        <f>SUM(I3:I7)</f>
        <v>100</v>
      </c>
      <c r="J8" s="2">
        <f>SUM(J3:J7)</f>
        <v>15.53884711779449</v>
      </c>
      <c r="K8" s="2">
        <f>SUM(K3:K7)</f>
        <v>100</v>
      </c>
      <c r="L8" s="2">
        <f>SUM(L3:L7)</f>
        <v>399</v>
      </c>
      <c r="M8" s="2"/>
      <c r="N8" s="2"/>
    </row>
    <row r="11" spans="1:14">
      <c r="D11" s="14" t="s">
        <v>1</v>
      </c>
      <c r="E11" s="14" t="s">
        <v>3</v>
      </c>
    </row>
    <row r="12" spans="1:14" customHeight="1" ht="39">
      <c r="C12" s="9" t="s">
        <v>42</v>
      </c>
      <c r="D12" s="2">
        <f>C3</f>
        <v>55</v>
      </c>
      <c r="E12" s="2">
        <f>G3</f>
        <v>7</v>
      </c>
    </row>
    <row r="13" spans="1:14" customHeight="1" ht="39">
      <c r="C13" s="9" t="s">
        <v>43</v>
      </c>
      <c r="D13" s="2">
        <f>C4</f>
        <v>6</v>
      </c>
      <c r="E13" s="2">
        <f>G4</f>
        <v>1</v>
      </c>
    </row>
    <row r="14" spans="1:14" customHeight="1" ht="26.25">
      <c r="C14" s="9" t="s">
        <v>44</v>
      </c>
      <c r="D14" s="2">
        <f>C5</f>
        <v>0</v>
      </c>
      <c r="E14" s="2">
        <f>G5</f>
        <v>0</v>
      </c>
    </row>
    <row r="15" spans="1:14" customHeight="1" ht="51">
      <c r="C15" s="8" t="s">
        <v>45</v>
      </c>
      <c r="D15" s="2">
        <f>C6</f>
        <v>218</v>
      </c>
      <c r="E15" s="2">
        <f>G6</f>
        <v>38</v>
      </c>
    </row>
    <row r="16" spans="1:14" customHeight="1" ht="51.75">
      <c r="C16" s="9" t="s">
        <v>46</v>
      </c>
      <c r="D16" s="2">
        <f>C7</f>
        <v>58</v>
      </c>
      <c r="E16" s="2">
        <f>G7</f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7030A0"/>
    <outlinePr summaryBelow="1" summaryRight="1"/>
  </sheetPr>
  <dimension ref="A1:N13"/>
  <sheetViews>
    <sheetView tabSelected="0" workbookViewId="0" showGridLines="true" showRowColHeaders="1">
      <selection activeCell="N30" sqref="N30"/>
    </sheetView>
  </sheetViews>
  <sheetFormatPr defaultRowHeight="14.4" outlineLevelRow="0" outlineLevelCol="0"/>
  <cols>
    <col min="1" max="1" width="6.140625" customWidth="true" style="0"/>
  </cols>
  <sheetData>
    <row r="2" spans="1:14" customHeight="1" ht="45">
      <c r="B2" s="11" t="s">
        <v>140</v>
      </c>
      <c r="C2" s="11" t="s">
        <v>1</v>
      </c>
      <c r="D2" s="11" t="s">
        <v>2</v>
      </c>
      <c r="E2" s="11" t="s">
        <v>9</v>
      </c>
      <c r="F2" s="11" t="s">
        <v>10</v>
      </c>
      <c r="G2" s="11" t="s">
        <v>3</v>
      </c>
      <c r="H2" s="11" t="s">
        <v>2</v>
      </c>
      <c r="I2" s="11" t="s">
        <v>9</v>
      </c>
      <c r="J2" s="11" t="s">
        <v>11</v>
      </c>
      <c r="K2" s="11" t="s">
        <v>12</v>
      </c>
      <c r="L2" s="11" t="s">
        <v>4</v>
      </c>
      <c r="M2" s="11" t="s">
        <v>5</v>
      </c>
      <c r="N2" s="11" t="s">
        <v>6</v>
      </c>
    </row>
    <row r="3" spans="1:14" customHeight="1" ht="26.25">
      <c r="B3" s="5" t="s">
        <v>48</v>
      </c>
      <c r="C3" s="2">
        <v>0</v>
      </c>
      <c r="D3" s="2" t="e">
        <f>C3/L3*100</f>
        <v>#DIV/0!</v>
      </c>
      <c r="E3" s="2">
        <f>C3/$C$7*100</f>
        <v>0</v>
      </c>
      <c r="F3" s="2">
        <f>C3/$L$7*100</f>
        <v>0</v>
      </c>
      <c r="G3" s="2">
        <v>0</v>
      </c>
      <c r="H3" s="2" t="e">
        <f>G3/L3*100</f>
        <v>#DIV/0!</v>
      </c>
      <c r="I3" s="2">
        <f>G3/$G$7*100</f>
        <v>0</v>
      </c>
      <c r="J3" s="2">
        <f>G3/$L$7*100</f>
        <v>0</v>
      </c>
      <c r="K3" s="2">
        <f>F3+J3</f>
        <v>0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1:14" customHeight="1" ht="26.25">
      <c r="B4" s="5" t="s">
        <v>49</v>
      </c>
      <c r="C4" s="2">
        <v>46</v>
      </c>
      <c r="D4" s="2">
        <f>C4/L4*100</f>
        <v>74.19354838709677</v>
      </c>
      <c r="E4" s="2">
        <f>C4/$C$7*100</f>
        <v>13.64985163204748</v>
      </c>
      <c r="F4" s="2">
        <f>C4/$L$7*100</f>
        <v>11.52882205513784</v>
      </c>
      <c r="G4" s="2">
        <v>16</v>
      </c>
      <c r="H4" s="2">
        <f>G4/L4*100</f>
        <v>25.80645161290322</v>
      </c>
      <c r="I4" s="2">
        <f>G4/$G$7*100</f>
        <v>25.80645161290322</v>
      </c>
      <c r="J4" s="2">
        <f>G4/$L$7*100</f>
        <v>4.010025062656641</v>
      </c>
      <c r="K4" s="2">
        <f>F4+J4</f>
        <v>15.53884711779449</v>
      </c>
      <c r="L4" s="2">
        <f>C4+G4</f>
        <v>62</v>
      </c>
      <c r="M4" s="2">
        <f>H4-D4</f>
        <v>-48.38709677419354</v>
      </c>
      <c r="N4" s="2">
        <f>C4/G4</f>
        <v>2.875</v>
      </c>
    </row>
    <row r="5" spans="1:14" customHeight="1" ht="26.25">
      <c r="B5" s="5" t="s">
        <v>50</v>
      </c>
      <c r="C5" s="2">
        <v>18</v>
      </c>
      <c r="D5" s="2">
        <f>C5/L5*100</f>
        <v>94.73684210526315</v>
      </c>
      <c r="E5" s="2">
        <f>C5/$C$7*100</f>
        <v>5.34124629080119</v>
      </c>
      <c r="F5" s="2">
        <f>C5/$L$7*100</f>
        <v>4.51127819548872</v>
      </c>
      <c r="G5" s="2">
        <v>1</v>
      </c>
      <c r="H5" s="2">
        <f>G5/L5*100</f>
        <v>5.26315789473684</v>
      </c>
      <c r="I5" s="2">
        <f>G5/$G$7*100</f>
        <v>1.61290322580645</v>
      </c>
      <c r="J5" s="2">
        <f>G5/$L$7*100</f>
        <v>0.25062656641604</v>
      </c>
      <c r="K5" s="2">
        <f>F5+J5</f>
        <v>4.76190476190476</v>
      </c>
      <c r="L5" s="2">
        <f>C5+G5</f>
        <v>19</v>
      </c>
      <c r="M5" s="2">
        <f>H5-D5</f>
        <v>-89.47368421052632</v>
      </c>
      <c r="N5" s="2">
        <f>C5/G5</f>
        <v>18</v>
      </c>
    </row>
    <row r="6" spans="1:14" customHeight="1" ht="25.5">
      <c r="B6" s="6" t="s">
        <v>51</v>
      </c>
      <c r="C6" s="2">
        <v>273</v>
      </c>
      <c r="D6" s="2">
        <f>C6/L6*100</f>
        <v>85.84905660377359</v>
      </c>
      <c r="E6" s="2">
        <f>C6/$C$7*100</f>
        <v>81.0089020771513333</v>
      </c>
      <c r="F6" s="2">
        <f>C6/$L$7*100</f>
        <v>68.42105263157895</v>
      </c>
      <c r="G6" s="2">
        <v>45</v>
      </c>
      <c r="H6" s="2">
        <f>G6/L6*100</f>
        <v>14.15094339622642</v>
      </c>
      <c r="I6" s="2">
        <f>G6/$G$7*100</f>
        <v>72.58064516129032</v>
      </c>
      <c r="J6" s="2">
        <f>G6/$L$7*100</f>
        <v>11.2781954887218</v>
      </c>
      <c r="K6" s="2">
        <f>F6+J6</f>
        <v>79.69924812030075</v>
      </c>
      <c r="L6" s="2">
        <f>C6+G6</f>
        <v>318</v>
      </c>
      <c r="M6" s="2">
        <f>H6-D6</f>
        <v>-71.69811320754718</v>
      </c>
      <c r="N6" s="2">
        <f>C6/G6</f>
        <v>6.066666666666666</v>
      </c>
    </row>
    <row r="7" spans="1:14">
      <c r="C7" s="2">
        <f>SUM(C3:C6)</f>
        <v>337</v>
      </c>
      <c r="D7" s="2"/>
      <c r="E7" s="2">
        <f>SUM(E3:E6)</f>
        <v>100</v>
      </c>
      <c r="F7" s="2">
        <f>SUM(F3:F6)</f>
        <v>84.46115288220551</v>
      </c>
      <c r="G7" s="2">
        <f>SUM(G3:G6)</f>
        <v>62</v>
      </c>
      <c r="H7" s="2"/>
      <c r="I7" s="2">
        <f>SUM(I3:I6)</f>
        <v>100</v>
      </c>
      <c r="J7" s="2">
        <f>SUM(J3:J6)</f>
        <v>15.53884711779449</v>
      </c>
      <c r="K7" s="2">
        <f>SUM(K3:K6)</f>
        <v>100</v>
      </c>
      <c r="L7" s="2">
        <f>SUM(L3:L6)</f>
        <v>399</v>
      </c>
      <c r="M7" s="2"/>
      <c r="N7" s="2"/>
    </row>
    <row r="9" spans="1:14">
      <c r="D9" s="14" t="s">
        <v>1</v>
      </c>
      <c r="E9" s="14" t="s">
        <v>3</v>
      </c>
    </row>
    <row r="10" spans="1:14" customHeight="1" ht="26.25">
      <c r="C10" s="9" t="s">
        <v>48</v>
      </c>
      <c r="D10" s="2">
        <f>C3</f>
        <v>0</v>
      </c>
      <c r="E10" s="2">
        <f>G3</f>
        <v>0</v>
      </c>
    </row>
    <row r="11" spans="1:14" customHeight="1" ht="26.25">
      <c r="C11" s="9" t="s">
        <v>49</v>
      </c>
      <c r="D11" s="2">
        <f>C4</f>
        <v>46</v>
      </c>
      <c r="E11" s="2">
        <f>G4</f>
        <v>16</v>
      </c>
    </row>
    <row r="12" spans="1:14" customHeight="1" ht="26.25">
      <c r="C12" s="9" t="s">
        <v>50</v>
      </c>
      <c r="D12" s="2">
        <f>C5</f>
        <v>18</v>
      </c>
      <c r="E12" s="2">
        <f>G5</f>
        <v>1</v>
      </c>
    </row>
    <row r="13" spans="1:14" customHeight="1" ht="25.5">
      <c r="C13" s="8" t="s">
        <v>51</v>
      </c>
      <c r="D13" s="2">
        <f>C6</f>
        <v>273</v>
      </c>
      <c r="E13" s="2">
        <f>G6</f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7030A0"/>
    <outlinePr summaryBelow="1" summaryRight="1"/>
  </sheetPr>
  <dimension ref="A1:N23"/>
  <sheetViews>
    <sheetView tabSelected="0" workbookViewId="0" showGridLines="true" showRowColHeaders="1" topLeftCell="D1">
      <selection activeCell="N3" sqref="N3"/>
    </sheetView>
  </sheetViews>
  <sheetFormatPr defaultRowHeight="14.4" outlineLevelRow="0" outlineLevelCol="0"/>
  <cols>
    <col min="1" max="1" width="6.5703125" customWidth="true" style="0"/>
    <col min="2" max="2" width="13.42578125" customWidth="true" style="0"/>
  </cols>
  <sheetData>
    <row r="2" spans="1:14" customHeight="1" ht="45">
      <c r="B2" s="11" t="s">
        <v>52</v>
      </c>
      <c r="C2" s="11" t="s">
        <v>1</v>
      </c>
      <c r="D2" s="11" t="s">
        <v>2</v>
      </c>
      <c r="E2" s="11" t="s">
        <v>9</v>
      </c>
      <c r="F2" s="11" t="s">
        <v>10</v>
      </c>
      <c r="G2" s="11" t="s">
        <v>3</v>
      </c>
      <c r="H2" s="11" t="s">
        <v>2</v>
      </c>
      <c r="I2" s="11" t="s">
        <v>9</v>
      </c>
      <c r="J2" s="11" t="s">
        <v>11</v>
      </c>
      <c r="K2" s="11" t="s">
        <v>12</v>
      </c>
      <c r="L2" s="11" t="s">
        <v>4</v>
      </c>
      <c r="M2" s="11" t="s">
        <v>5</v>
      </c>
      <c r="N2" s="11" t="s">
        <v>6</v>
      </c>
    </row>
    <row r="3" spans="1:14">
      <c r="B3" s="5" t="s">
        <v>53</v>
      </c>
      <c r="C3" s="2">
        <v>218</v>
      </c>
      <c r="D3" s="2">
        <f>C3/L3*100</f>
        <v>86.16600790513834</v>
      </c>
      <c r="E3" s="2">
        <f>C3/$C$23*100</f>
        <v>64.68842729970326</v>
      </c>
      <c r="F3" s="2">
        <f>C3/$L$23*100</f>
        <v>54.63659147869674</v>
      </c>
      <c r="G3" s="2">
        <v>35</v>
      </c>
      <c r="H3" s="2">
        <f>G3/L3*100</f>
        <v>13.83399209486166</v>
      </c>
      <c r="I3" s="2">
        <f>G3/$G$23*100</f>
        <v>56.45161290322581</v>
      </c>
      <c r="J3" s="2">
        <f>G3/$L$23*100</f>
        <v>8.7719298245614</v>
      </c>
      <c r="K3" s="2">
        <f>F3+J3</f>
        <v>63.40852130325814</v>
      </c>
      <c r="L3" s="2">
        <f>C3+G3</f>
        <v>253</v>
      </c>
      <c r="M3" s="2">
        <f>H3-D3</f>
        <v>-72.33201581027669</v>
      </c>
      <c r="N3" s="2">
        <f>C3/G3</f>
        <v>6.22857142857143</v>
      </c>
    </row>
    <row r="4" spans="1:14">
      <c r="B4" t="s">
        <v>54</v>
      </c>
      <c r="C4">
        <v>57</v>
      </c>
      <c r="D4">
        <f>C4/L4*100</f>
        <v>95</v>
      </c>
      <c r="E4">
        <f>C4/$C$23*100</f>
        <v>16.91394658753709</v>
      </c>
      <c r="F4">
        <f>C4/$L$23*100</f>
        <v>14.28571428571428</v>
      </c>
      <c r="G4">
        <v>3</v>
      </c>
      <c r="H4">
        <f>G4/L4*100</f>
        <v>5</v>
      </c>
      <c r="I4">
        <f>G4/$G$23*100</f>
        <v>4.83870967741935</v>
      </c>
      <c r="J4">
        <f>G4/$L$23*100</f>
        <v>0.75187969924812</v>
      </c>
      <c r="K4">
        <f>F4+J4</f>
        <v>15.037593984962404</v>
      </c>
      <c r="L4">
        <f>C4+G4</f>
        <v>60</v>
      </c>
      <c r="M4">
        <f>H4-D4</f>
        <v>-90</v>
      </c>
      <c r="N4">
        <f>C4/G4</f>
        <v>19</v>
      </c>
    </row>
    <row r="5" spans="1:14">
      <c r="B5" t="s">
        <v>55</v>
      </c>
      <c r="C5">
        <v>17</v>
      </c>
      <c r="D5">
        <f>C5/L5*100</f>
        <v>68</v>
      </c>
      <c r="E5">
        <f>C5/$C$23*100</f>
        <v>5.044510385756676</v>
      </c>
      <c r="F5">
        <f>C5/$L$23*100</f>
        <v>4.26065162907268</v>
      </c>
      <c r="G5">
        <v>8</v>
      </c>
      <c r="H5">
        <f>G5/L5*100</f>
        <v>32</v>
      </c>
      <c r="I5">
        <f>G5/$G$23*100</f>
        <v>12.90322580645161</v>
      </c>
      <c r="J5">
        <f>G5/$L$23*100</f>
        <v>2.0050125313283207</v>
      </c>
      <c r="K5">
        <f>F5+J5</f>
        <v>6.265664160401</v>
      </c>
      <c r="L5">
        <f>C5+G5</f>
        <v>25</v>
      </c>
      <c r="M5">
        <f>H5-D5</f>
        <v>-36</v>
      </c>
      <c r="N5">
        <f>C5/G5</f>
        <v>2.125</v>
      </c>
    </row>
    <row r="6" spans="1:14">
      <c r="B6" t="s">
        <v>57</v>
      </c>
      <c r="C6">
        <v>7</v>
      </c>
      <c r="D6">
        <f>C6/L6*100</f>
        <v>70</v>
      </c>
      <c r="E6">
        <f>C6/$C$23*100</f>
        <v>2.077151335311572</v>
      </c>
      <c r="F6">
        <f>C6/$L$23*100</f>
        <v>1.75438596491228</v>
      </c>
      <c r="G6">
        <v>3</v>
      </c>
      <c r="H6">
        <f>G6/L6*100</f>
        <v>30</v>
      </c>
      <c r="I6">
        <f>G6/$G$23*100</f>
        <v>4.83870967741935</v>
      </c>
      <c r="J6">
        <f>G6/$L$23*100</f>
        <v>0.75187969924812</v>
      </c>
      <c r="K6">
        <f>F6+J6</f>
        <v>2.5062656641604</v>
      </c>
      <c r="L6">
        <f>C6+G6</f>
        <v>10</v>
      </c>
      <c r="M6">
        <f>H6-D6</f>
        <v>-40</v>
      </c>
      <c r="N6">
        <f>C6/G6</f>
        <v>2.33333333333333</v>
      </c>
    </row>
    <row r="7" spans="1:14">
      <c r="B7" t="s">
        <v>59</v>
      </c>
      <c r="C7">
        <v>9</v>
      </c>
      <c r="D7">
        <f>C7/L7*100</f>
        <v>90</v>
      </c>
      <c r="E7">
        <f>C7/$C$23*100</f>
        <v>2.67062314540059</v>
      </c>
      <c r="F7">
        <f>C7/$L$23*100</f>
        <v>2.25563909774436</v>
      </c>
      <c r="G7">
        <v>1</v>
      </c>
      <c r="H7">
        <f>G7/L7*100</f>
        <v>10</v>
      </c>
      <c r="I7">
        <f>G7/$G$23*100</f>
        <v>1.61290322580645</v>
      </c>
      <c r="J7">
        <f>G7/$L$23*100</f>
        <v>0.25062656641604</v>
      </c>
      <c r="K7">
        <f>F7+J7</f>
        <v>2.5062656641604</v>
      </c>
      <c r="L7">
        <f>C7+G7</f>
        <v>10</v>
      </c>
      <c r="M7">
        <f>H7-D7</f>
        <v>-80</v>
      </c>
      <c r="N7">
        <f>C7/G7</f>
        <v>9</v>
      </c>
    </row>
    <row r="8" spans="1:14">
      <c r="B8" t="s">
        <v>56</v>
      </c>
      <c r="C8">
        <v>8</v>
      </c>
      <c r="D8">
        <f>C8/L8*100</f>
        <v>88.88888888888889</v>
      </c>
      <c r="E8">
        <f>C8/$C$23*100</f>
        <v>2.37388724035608</v>
      </c>
      <c r="F8">
        <f>C8/$L$23*100</f>
        <v>2.0050125313283207</v>
      </c>
      <c r="G8">
        <v>1</v>
      </c>
      <c r="H8">
        <f>G8/L8*100</f>
        <v>11.11111111111111</v>
      </c>
      <c r="I8">
        <f>G8/$G$23*100</f>
        <v>1.61290322580645</v>
      </c>
      <c r="J8">
        <f>G8/$L$23*100</f>
        <v>0.25062656641604</v>
      </c>
      <c r="K8">
        <f>F8+J8</f>
        <v>2.25563909774436</v>
      </c>
      <c r="L8">
        <f>C8+G8</f>
        <v>9</v>
      </c>
      <c r="M8">
        <f>H8-D8</f>
        <v>-77.77777777777777</v>
      </c>
      <c r="N8">
        <f>C8/G8</f>
        <v>8</v>
      </c>
    </row>
    <row r="9" spans="1:14">
      <c r="B9" t="s">
        <v>58</v>
      </c>
      <c r="C9">
        <v>4</v>
      </c>
      <c r="D9">
        <f>C9/L9*100</f>
        <v>50</v>
      </c>
      <c r="E9">
        <f>C9/$C$23*100</f>
        <v>1.18694362017804</v>
      </c>
      <c r="F9">
        <f>C9/$L$23*100</f>
        <v>1.0025062656641603</v>
      </c>
      <c r="G9">
        <v>4</v>
      </c>
      <c r="H9">
        <f>G9/L9*100</f>
        <v>50</v>
      </c>
      <c r="I9">
        <f>G9/$G$23*100</f>
        <v>6.45161290322581</v>
      </c>
      <c r="J9">
        <f>G9/$L$23*100</f>
        <v>1.0025062656641603</v>
      </c>
      <c r="K9">
        <f>F9+J9</f>
        <v>2.0050125313283207</v>
      </c>
      <c r="L9">
        <f>C9+G9</f>
        <v>8</v>
      </c>
      <c r="M9">
        <f>H9-D9</f>
        <v>0</v>
      </c>
      <c r="N9">
        <f>C9/G9</f>
        <v>1</v>
      </c>
    </row>
    <row r="10" spans="1:14">
      <c r="B10" t="s">
        <v>65</v>
      </c>
      <c r="C10">
        <v>1</v>
      </c>
      <c r="D10">
        <f>C10/L10*100</f>
        <v>25</v>
      </c>
      <c r="E10">
        <f>C10/$C$23*100</f>
        <v>0.29673590504451</v>
      </c>
      <c r="F10">
        <f>C10/$L$23*100</f>
        <v>0.25062656641604</v>
      </c>
      <c r="G10">
        <v>3</v>
      </c>
      <c r="H10">
        <f>G10/L10*100</f>
        <v>75</v>
      </c>
      <c r="I10">
        <f>G10/$G$23*100</f>
        <v>4.83870967741935</v>
      </c>
      <c r="J10">
        <f>G10/$L$23*100</f>
        <v>0.75187969924812</v>
      </c>
      <c r="K10">
        <f>F10+J10</f>
        <v>1.0025062656641603</v>
      </c>
      <c r="L10">
        <f>C10+G10</f>
        <v>4</v>
      </c>
      <c r="M10">
        <f>H10-D10</f>
        <v>50</v>
      </c>
      <c r="N10">
        <f>C10/G10</f>
        <v>0.33333333333333</v>
      </c>
    </row>
    <row r="11" spans="1:14">
      <c r="B11" t="s">
        <v>61</v>
      </c>
      <c r="C11">
        <v>3</v>
      </c>
      <c r="D11">
        <f>C11/L11*100</f>
        <v>100</v>
      </c>
      <c r="E11">
        <f>C11/$C$23*100</f>
        <v>0.89020771513353</v>
      </c>
      <c r="F11">
        <f>C11/$L$23*100</f>
        <v>0.75187969924812</v>
      </c>
      <c r="G11">
        <v>0</v>
      </c>
      <c r="H11">
        <f>G11/L11*100</f>
        <v>0</v>
      </c>
      <c r="I11">
        <f>G11/$G$23*100</f>
        <v>0</v>
      </c>
      <c r="J11">
        <f>G11/$L$23*100</f>
        <v>0</v>
      </c>
      <c r="K11">
        <f>F11+J11</f>
        <v>0.75187969924812</v>
      </c>
      <c r="L11">
        <f>C11+G11</f>
        <v>3</v>
      </c>
      <c r="M11">
        <f>H11-D11</f>
        <v>-100</v>
      </c>
      <c r="N11" t="e">
        <f>C11/G11</f>
        <v>#DIV/0!</v>
      </c>
    </row>
    <row r="12" spans="1:14">
      <c r="B12" t="s">
        <v>62</v>
      </c>
      <c r="C12">
        <v>3</v>
      </c>
      <c r="D12">
        <f>C12/L12*100</f>
        <v>100</v>
      </c>
      <c r="E12">
        <f>C12/$C$23*100</f>
        <v>0.89020771513353</v>
      </c>
      <c r="F12">
        <f>C12/$L$23*100</f>
        <v>0.75187969924812</v>
      </c>
      <c r="G12">
        <v>0</v>
      </c>
      <c r="H12">
        <f>G12/L12*100</f>
        <v>0</v>
      </c>
      <c r="I12">
        <f>G12/$G$23*100</f>
        <v>0</v>
      </c>
      <c r="J12">
        <f>G12/$L$23*100</f>
        <v>0</v>
      </c>
      <c r="K12">
        <f>F12+J12</f>
        <v>0.75187969924812</v>
      </c>
      <c r="L12">
        <f>C12+G12</f>
        <v>3</v>
      </c>
      <c r="M12">
        <f>H12-D12</f>
        <v>-100</v>
      </c>
      <c r="N12" t="e">
        <f>C12/G12</f>
        <v>#DIV/0!</v>
      </c>
    </row>
    <row r="13" spans="1:14">
      <c r="B13" t="s">
        <v>64</v>
      </c>
      <c r="C13">
        <v>2</v>
      </c>
      <c r="D13">
        <f>C13/L13*100</f>
        <v>66.66666666666666</v>
      </c>
      <c r="E13">
        <f>C13/$C$23*100</f>
        <v>0.59347181008902</v>
      </c>
      <c r="F13">
        <f>C13/$L$23*100</f>
        <v>0.50125313283208</v>
      </c>
      <c r="G13">
        <v>1</v>
      </c>
      <c r="H13">
        <f>G13/L13*100</f>
        <v>33.33333333333333</v>
      </c>
      <c r="I13">
        <f>G13/$G$23*100</f>
        <v>1.61290322580645</v>
      </c>
      <c r="J13">
        <f>G13/$L$23*100</f>
        <v>0.25062656641604</v>
      </c>
      <c r="K13">
        <f>F13+J13</f>
        <v>0.75187969924812</v>
      </c>
      <c r="L13">
        <f>C13+G13</f>
        <v>3</v>
      </c>
      <c r="M13">
        <f>H13-D13</f>
        <v>-33.33333333333333</v>
      </c>
      <c r="N13">
        <f>C13/G13</f>
        <v>2</v>
      </c>
    </row>
    <row r="14" spans="1:14">
      <c r="B14" t="s">
        <v>63</v>
      </c>
      <c r="C14">
        <v>2</v>
      </c>
      <c r="D14">
        <f>C14/L14*100</f>
        <v>100</v>
      </c>
      <c r="E14">
        <f>C14/$C$23*100</f>
        <v>0.59347181008902</v>
      </c>
      <c r="F14">
        <f>C14/$L$23*100</f>
        <v>0.50125313283208</v>
      </c>
      <c r="G14">
        <v>0</v>
      </c>
      <c r="H14">
        <f>G14/L14*100</f>
        <v>0</v>
      </c>
      <c r="I14">
        <f>G14/$G$23*100</f>
        <v>0</v>
      </c>
      <c r="J14">
        <f>G14/$L$23*100</f>
        <v>0</v>
      </c>
      <c r="K14">
        <f>F14+J14</f>
        <v>0.50125313283208</v>
      </c>
      <c r="L14">
        <f>C14+G14</f>
        <v>2</v>
      </c>
      <c r="M14">
        <f>H14-D14</f>
        <v>-100</v>
      </c>
      <c r="N14" t="e">
        <f>C14/G14</f>
        <v>#DIV/0!</v>
      </c>
    </row>
    <row r="15" spans="1:14">
      <c r="B15" t="s">
        <v>73</v>
      </c>
      <c r="C15">
        <v>0</v>
      </c>
      <c r="D15">
        <f>C15/L15*100</f>
        <v>0</v>
      </c>
      <c r="E15">
        <f>C15/$C$23*100</f>
        <v>0</v>
      </c>
      <c r="F15">
        <f>C15/$L$23*100</f>
        <v>0</v>
      </c>
      <c r="G15">
        <v>2</v>
      </c>
      <c r="H15">
        <f>G15/L15*100</f>
        <v>100</v>
      </c>
      <c r="I15">
        <f>G15/$G$23*100</f>
        <v>3.2258064516129</v>
      </c>
      <c r="J15">
        <f>G15/$L$23*100</f>
        <v>0.50125313283208</v>
      </c>
      <c r="K15">
        <f>F15+J15</f>
        <v>0.50125313283208</v>
      </c>
      <c r="L15">
        <f>C15+G15</f>
        <v>2</v>
      </c>
      <c r="M15">
        <f>H15-D15</f>
        <v>100</v>
      </c>
      <c r="N15">
        <f>C15/G15</f>
        <v>0</v>
      </c>
    </row>
    <row r="16" spans="1:14">
      <c r="B16" t="s">
        <v>74</v>
      </c>
      <c r="C16">
        <v>1</v>
      </c>
      <c r="D16">
        <f>C16/L16*100</f>
        <v>100</v>
      </c>
      <c r="E16">
        <f>C16/$C$23*100</f>
        <v>0.29673590504451</v>
      </c>
      <c r="F16">
        <f>C16/$L$23*100</f>
        <v>0.25062656641604</v>
      </c>
      <c r="G16">
        <v>0</v>
      </c>
      <c r="H16">
        <f>G16/L16*100</f>
        <v>0</v>
      </c>
      <c r="I16">
        <f>G16/$G$23*100</f>
        <v>0</v>
      </c>
      <c r="J16">
        <f>G16/$L$23*100</f>
        <v>0</v>
      </c>
      <c r="K16">
        <f>F16+J16</f>
        <v>0.25062656641604</v>
      </c>
      <c r="L16">
        <f>C16+G16</f>
        <v>1</v>
      </c>
      <c r="M16">
        <f>H16-D16</f>
        <v>-100</v>
      </c>
      <c r="N16" t="e">
        <f>C16/G16</f>
        <v>#DIV/0!</v>
      </c>
    </row>
    <row r="17" spans="1:14">
      <c r="B17" t="s">
        <v>67</v>
      </c>
      <c r="C17">
        <v>0</v>
      </c>
      <c r="D17">
        <f>C17/L17*100</f>
        <v>0</v>
      </c>
      <c r="E17">
        <f>C17/$C$23*100</f>
        <v>0</v>
      </c>
      <c r="F17">
        <f>C17/$L$23*100</f>
        <v>0</v>
      </c>
      <c r="G17">
        <v>1</v>
      </c>
      <c r="H17">
        <f>G17/L17*100</f>
        <v>100</v>
      </c>
      <c r="I17">
        <f>G17/$G$23*100</f>
        <v>1.61290322580645</v>
      </c>
      <c r="J17">
        <f>G17/$L$23*100</f>
        <v>0.25062656641604</v>
      </c>
      <c r="K17">
        <f>F17+J17</f>
        <v>0.25062656641604</v>
      </c>
      <c r="L17">
        <f>C17+G17</f>
        <v>1</v>
      </c>
      <c r="M17">
        <f>H17-D17</f>
        <v>100</v>
      </c>
      <c r="N17">
        <f>C17/G17</f>
        <v>0</v>
      </c>
    </row>
    <row r="18" spans="1:14">
      <c r="B18" t="s">
        <v>60</v>
      </c>
      <c r="C18">
        <v>1</v>
      </c>
      <c r="D18">
        <f>C18/L18*100</f>
        <v>100</v>
      </c>
      <c r="E18">
        <f>C18/$C$23*100</f>
        <v>0.29673590504451</v>
      </c>
      <c r="F18">
        <f>C18/$L$23*100</f>
        <v>0.25062656641604</v>
      </c>
      <c r="G18">
        <v>0</v>
      </c>
      <c r="H18">
        <f>G18/L18*100</f>
        <v>0</v>
      </c>
      <c r="I18">
        <f>G18/$G$23*100</f>
        <v>0</v>
      </c>
      <c r="J18">
        <f>G18/$L$23*100</f>
        <v>0</v>
      </c>
      <c r="K18">
        <f>F18+J18</f>
        <v>0.25062656641604</v>
      </c>
      <c r="L18">
        <f>C18+G18</f>
        <v>1</v>
      </c>
      <c r="M18">
        <f>H18-D18</f>
        <v>-100</v>
      </c>
      <c r="N18" t="e">
        <f>C18/G18</f>
        <v>#DIV/0!</v>
      </c>
    </row>
    <row r="19" spans="1:14">
      <c r="B19" t="s">
        <v>80</v>
      </c>
      <c r="C19">
        <v>1</v>
      </c>
      <c r="D19">
        <f>C19/L19*100</f>
        <v>100</v>
      </c>
      <c r="E19">
        <f>C19/$C$23*100</f>
        <v>0.29673590504451</v>
      </c>
      <c r="F19">
        <f>C19/$L$23*100</f>
        <v>0.25062656641604</v>
      </c>
      <c r="G19">
        <v>0</v>
      </c>
      <c r="H19">
        <f>G19/L19*100</f>
        <v>0</v>
      </c>
      <c r="I19">
        <f>G19/$G$23*100</f>
        <v>0</v>
      </c>
      <c r="J19">
        <f>G19/$L$23*100</f>
        <v>0</v>
      </c>
      <c r="K19">
        <f>F19+J19</f>
        <v>0.25062656641604</v>
      </c>
      <c r="L19">
        <f>C19+G19</f>
        <v>1</v>
      </c>
      <c r="M19">
        <f>H19-D19</f>
        <v>-100</v>
      </c>
      <c r="N19" t="e">
        <f>C19/G19</f>
        <v>#DIV/0!</v>
      </c>
    </row>
    <row r="20" spans="1:14">
      <c r="B20" t="s">
        <v>83</v>
      </c>
      <c r="C20">
        <v>1</v>
      </c>
      <c r="D20">
        <f>C20/L20*100</f>
        <v>100</v>
      </c>
      <c r="E20">
        <f>C20/$C$23*100</f>
        <v>0.29673590504451</v>
      </c>
      <c r="F20">
        <f>C20/$L$23*100</f>
        <v>0.25062656641604</v>
      </c>
      <c r="G20">
        <v>0</v>
      </c>
      <c r="H20">
        <f>G20/L20*100</f>
        <v>0</v>
      </c>
      <c r="I20">
        <f>G20/$G$23*100</f>
        <v>0</v>
      </c>
      <c r="J20">
        <f>G20/$L$23*100</f>
        <v>0</v>
      </c>
      <c r="K20">
        <f>F20+J20</f>
        <v>0.25062656641604</v>
      </c>
      <c r="L20">
        <f>C20+G20</f>
        <v>1</v>
      </c>
      <c r="M20">
        <f>H20-D20</f>
        <v>-100</v>
      </c>
      <c r="N20" t="e">
        <f>C20/G20</f>
        <v>#DIV/0!</v>
      </c>
    </row>
    <row r="21" spans="1:14">
      <c r="B21" t="s">
        <v>70</v>
      </c>
      <c r="C21">
        <v>1</v>
      </c>
      <c r="D21">
        <f>C21/L21*100</f>
        <v>100</v>
      </c>
      <c r="E21">
        <f>C21/$C$23*100</f>
        <v>0.29673590504451</v>
      </c>
      <c r="F21">
        <f>C21/$L$23*100</f>
        <v>0.25062656641604</v>
      </c>
      <c r="G21">
        <v>0</v>
      </c>
      <c r="H21">
        <f>G21/L21*100</f>
        <v>0</v>
      </c>
      <c r="I21">
        <f>G21/$G$23*100</f>
        <v>0</v>
      </c>
      <c r="J21">
        <f>G21/$L$23*100</f>
        <v>0</v>
      </c>
      <c r="K21">
        <f>F21+J21</f>
        <v>0.25062656641604</v>
      </c>
      <c r="L21">
        <f>C21+G21</f>
        <v>1</v>
      </c>
      <c r="M21">
        <f>H21-D21</f>
        <v>-100</v>
      </c>
      <c r="N21" t="e">
        <f>C21/G21</f>
        <v>#DIV/0!</v>
      </c>
    </row>
    <row r="22" spans="1:14">
      <c r="B22" t="s">
        <v>66</v>
      </c>
      <c r="C22">
        <v>1</v>
      </c>
      <c r="D22">
        <f>C22/L22*100</f>
        <v>100</v>
      </c>
      <c r="E22">
        <f>C22/$C$23*100</f>
        <v>0.29673590504451</v>
      </c>
      <c r="F22">
        <f>C22/$L$23*100</f>
        <v>0.25062656641604</v>
      </c>
      <c r="G22">
        <v>0</v>
      </c>
      <c r="H22">
        <f>G22/L22*100</f>
        <v>0</v>
      </c>
      <c r="I22">
        <f>G22/$G$23*100</f>
        <v>0</v>
      </c>
      <c r="J22">
        <f>G22/$L$23*100</f>
        <v>0</v>
      </c>
      <c r="K22">
        <f>F22+J22</f>
        <v>0.25062656641604</v>
      </c>
      <c r="L22">
        <f>C22+G22</f>
        <v>1</v>
      </c>
      <c r="M22">
        <f>H22-D22</f>
        <v>-100</v>
      </c>
      <c r="N22" t="e">
        <f>C22/G22</f>
        <v>#DIV/0!</v>
      </c>
    </row>
    <row r="23" spans="1:14">
      <c r="B23" t="s">
        <v>0</v>
      </c>
      <c r="C23">
        <f>SUM(C3:C22)</f>
        <v>337</v>
      </c>
      <c r="G23">
        <f>SUM(G3:G22)</f>
        <v>62</v>
      </c>
      <c r="L23">
        <f>SUM(L3:L22)</f>
        <v>399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7030A0"/>
    <outlinePr summaryBelow="1" summaryRight="1"/>
  </sheetPr>
  <dimension ref="A1:N6"/>
  <sheetViews>
    <sheetView tabSelected="0" workbookViewId="0" showGridLines="true" showRowColHeaders="1" topLeftCell="H1">
      <selection activeCell="N3" sqref="N3"/>
    </sheetView>
  </sheetViews>
  <sheetFormatPr defaultRowHeight="14.4" outlineLevelRow="0" outlineLevelCol="0"/>
  <cols>
    <col min="1" max="1" width="5.85546875" customWidth="true" style="0"/>
  </cols>
  <sheetData>
    <row r="2" spans="1:14" customHeight="1" ht="45">
      <c r="B2" s="11" t="s">
        <v>87</v>
      </c>
      <c r="C2" s="11" t="s">
        <v>1</v>
      </c>
      <c r="D2" s="11" t="s">
        <v>2</v>
      </c>
      <c r="E2" s="11" t="s">
        <v>9</v>
      </c>
      <c r="F2" s="11" t="s">
        <v>10</v>
      </c>
      <c r="G2" s="11" t="s">
        <v>3</v>
      </c>
      <c r="H2" s="11" t="s">
        <v>2</v>
      </c>
      <c r="I2" s="11" t="s">
        <v>9</v>
      </c>
      <c r="J2" s="11" t="s">
        <v>11</v>
      </c>
      <c r="K2" s="11" t="s">
        <v>12</v>
      </c>
      <c r="L2" s="11" t="s">
        <v>4</v>
      </c>
      <c r="M2" s="11" t="s">
        <v>5</v>
      </c>
      <c r="N2" s="11" t="s">
        <v>6</v>
      </c>
    </row>
    <row r="3" spans="1:14">
      <c r="B3" s="5" t="s">
        <v>88</v>
      </c>
      <c r="C3" s="2">
        <v>268</v>
      </c>
      <c r="D3" s="2">
        <f>C3/L3*100</f>
        <v>83.48909657320873</v>
      </c>
      <c r="E3" s="2">
        <f>C3/$C$6*100</f>
        <v>79.52522255192879</v>
      </c>
      <c r="F3" s="2">
        <f>C3/$L$6*100</f>
        <v>67.16791979949875</v>
      </c>
      <c r="G3" s="2">
        <v>53</v>
      </c>
      <c r="H3" s="2">
        <f>G3/L3*100</f>
        <v>16.51090342679128</v>
      </c>
      <c r="I3" s="2">
        <f>G3/$G$6*100</f>
        <v>85.48387096774194</v>
      </c>
      <c r="J3" s="2">
        <f>G3/$L$6*100</f>
        <v>13.28320802005013</v>
      </c>
      <c r="K3" s="2">
        <f>F3+J3</f>
        <v>80.45112781954887</v>
      </c>
      <c r="L3" s="2">
        <f>C3+G3</f>
        <v>321</v>
      </c>
      <c r="M3" s="2">
        <f>H3-D3</f>
        <v>-66.97819314641745</v>
      </c>
      <c r="N3" s="2">
        <f>C3/G3</f>
        <v>5.056603773584905</v>
      </c>
    </row>
    <row r="4" spans="1:14">
      <c r="B4" t="s">
        <v>89</v>
      </c>
      <c r="C4">
        <v>63</v>
      </c>
      <c r="D4">
        <f>C4/L4*100</f>
        <v>87.5</v>
      </c>
      <c r="E4">
        <f>C4/$C$6*100</f>
        <v>18.69436201780415</v>
      </c>
      <c r="F4">
        <f>C4/$L$6*100</f>
        <v>15.78947368421053</v>
      </c>
      <c r="G4">
        <v>9</v>
      </c>
      <c r="H4">
        <f>G4/L4*100</f>
        <v>12.5</v>
      </c>
      <c r="I4">
        <f>G4/$G$6*100</f>
        <v>14.51612903225807</v>
      </c>
      <c r="J4">
        <f>G4/$L$6*100</f>
        <v>2.25563909774436</v>
      </c>
      <c r="K4">
        <f>F4+J4</f>
        <v>18.045112781954884</v>
      </c>
      <c r="L4">
        <f>C4+G4</f>
        <v>72</v>
      </c>
      <c r="M4">
        <f>H4-D4</f>
        <v>-75</v>
      </c>
      <c r="N4">
        <f>C4/G4</f>
        <v>7</v>
      </c>
    </row>
    <row r="5" spans="1:14">
      <c r="B5" t="s">
        <v>90</v>
      </c>
      <c r="C5">
        <v>6</v>
      </c>
      <c r="D5">
        <f>C5/L5*100</f>
        <v>100</v>
      </c>
      <c r="E5">
        <f>C5/$C$6*100</f>
        <v>1.78041543026706</v>
      </c>
      <c r="F5">
        <f>C5/$L$6*100</f>
        <v>1.50375939849624</v>
      </c>
      <c r="G5">
        <v>0</v>
      </c>
      <c r="H5">
        <f>G5/L5*100</f>
        <v>0</v>
      </c>
      <c r="I5">
        <f>G5/$G$6*100</f>
        <v>0</v>
      </c>
      <c r="J5">
        <f>G5/$L$6*100</f>
        <v>0</v>
      </c>
      <c r="K5">
        <f>F5+J5</f>
        <v>1.50375939849624</v>
      </c>
      <c r="L5">
        <f>C5+G5</f>
        <v>6</v>
      </c>
      <c r="M5">
        <f>H5-D5</f>
        <v>-100</v>
      </c>
      <c r="N5" t="e">
        <f>C5/G5</f>
        <v>#DIV/0!</v>
      </c>
    </row>
    <row r="6" spans="1:14">
      <c r="B6" t="s">
        <v>0</v>
      </c>
      <c r="C6">
        <f>SUM(C3:C5)</f>
        <v>337</v>
      </c>
      <c r="G6">
        <f>SUM(G3:G5)</f>
        <v>62</v>
      </c>
      <c r="L6">
        <f>SUM(L3:L5)</f>
        <v>399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C55911"/>
    <outlinePr summaryBelow="1" summaryRight="1"/>
  </sheetPr>
  <dimension ref="A1:N29"/>
  <sheetViews>
    <sheetView tabSelected="0" workbookViewId="0" showGridLines="true" showRowColHeaders="1">
      <selection activeCell="C17" sqref="C17:E29"/>
    </sheetView>
  </sheetViews>
  <sheetFormatPr defaultRowHeight="14.4" outlineLevelRow="0" outlineLevelCol="0"/>
  <cols>
    <col min="1" max="1" width="5.7109375" customWidth="true" style="0"/>
    <col min="2" max="2" width="15.140625" customWidth="true" style="0"/>
    <col min="3" max="3" width="15.140625" customWidth="true" style="0"/>
  </cols>
  <sheetData>
    <row r="2" spans="1:14" customHeight="1" ht="45">
      <c r="B2" s="11" t="s">
        <v>8</v>
      </c>
      <c r="C2" s="11" t="s">
        <v>1</v>
      </c>
      <c r="D2" s="11" t="s">
        <v>2</v>
      </c>
      <c r="E2" s="11" t="s">
        <v>9</v>
      </c>
      <c r="F2" s="11" t="s">
        <v>10</v>
      </c>
      <c r="G2" s="11" t="s">
        <v>3</v>
      </c>
      <c r="H2" s="11" t="s">
        <v>2</v>
      </c>
      <c r="I2" s="11" t="s">
        <v>9</v>
      </c>
      <c r="J2" s="11" t="s">
        <v>11</v>
      </c>
      <c r="K2" s="11" t="s">
        <v>12</v>
      </c>
      <c r="L2" s="11" t="s">
        <v>4</v>
      </c>
      <c r="M2" s="11" t="s">
        <v>5</v>
      </c>
      <c r="N2" s="11" t="s">
        <v>6</v>
      </c>
    </row>
    <row r="3" spans="1:14">
      <c r="B3" s="3" t="s">
        <v>13</v>
      </c>
      <c r="C3" s="2"/>
      <c r="D3" s="2" t="e">
        <f>C3/L3*100</f>
        <v>#DIV/0!</v>
      </c>
      <c r="E3" s="2" t="e">
        <f>C3/$C$15*100</f>
        <v>#DIV/0!</v>
      </c>
      <c r="F3" s="2" t="e">
        <f>C3/$L$15*100</f>
        <v>#DIV/0!</v>
      </c>
      <c r="G3" s="2"/>
      <c r="H3" s="2" t="e">
        <f>G3/L3*100</f>
        <v>#DIV/0!</v>
      </c>
      <c r="I3" s="2" t="e">
        <f>G3/$G$15*100</f>
        <v>#DIV/0!</v>
      </c>
      <c r="J3" s="2" t="e">
        <f>G3/$L$15*100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1:14">
      <c r="B4" s="3" t="s">
        <v>14</v>
      </c>
      <c r="C4" s="2"/>
      <c r="D4" s="2" t="e">
        <f>C4/L4*100</f>
        <v>#DIV/0!</v>
      </c>
      <c r="E4" s="2" t="e">
        <f>C4/$C$15*100</f>
        <v>#DIV/0!</v>
      </c>
      <c r="F4" s="2" t="e">
        <f>C4/$L$15*100</f>
        <v>#DIV/0!</v>
      </c>
      <c r="G4" s="2"/>
      <c r="H4" s="2" t="e">
        <f>G4/L4*100</f>
        <v>#DIV/0!</v>
      </c>
      <c r="I4" s="2" t="e">
        <f>G4/$G$15*100</f>
        <v>#DIV/0!</v>
      </c>
      <c r="J4" s="2" t="e">
        <f>G4/$L$15*100</f>
        <v>#DIV/0!</v>
      </c>
      <c r="K4" s="2" t="e">
        <f>F4+J4</f>
        <v>#DIV/0!</v>
      </c>
      <c r="L4" s="2">
        <f>C4+G4</f>
        <v>0</v>
      </c>
      <c r="M4" s="2" t="e">
        <f>H4-D4</f>
        <v>#DIV/0!</v>
      </c>
      <c r="N4" s="2" t="e">
        <f>C4/G4</f>
        <v>#DIV/0!</v>
      </c>
    </row>
    <row r="5" spans="1:14">
      <c r="B5" s="3" t="s">
        <v>15</v>
      </c>
      <c r="C5" s="2"/>
      <c r="D5" s="2" t="e">
        <f>C5/L5*100</f>
        <v>#DIV/0!</v>
      </c>
      <c r="E5" s="2" t="e">
        <f>C5/$C$15*100</f>
        <v>#DIV/0!</v>
      </c>
      <c r="F5" s="2" t="e">
        <f>C5/$L$15*100</f>
        <v>#DIV/0!</v>
      </c>
      <c r="G5" s="2"/>
      <c r="H5" s="2" t="e">
        <f>G5/L5*100</f>
        <v>#DIV/0!</v>
      </c>
      <c r="I5" s="2" t="e">
        <f>G5/$G$15*100</f>
        <v>#DIV/0!</v>
      </c>
      <c r="J5" s="2" t="e">
        <f>G5/$L$15*100</f>
        <v>#DIV/0!</v>
      </c>
      <c r="K5" s="2" t="e">
        <f>F5+J5</f>
        <v>#DIV/0!</v>
      </c>
      <c r="L5" s="2">
        <f>C5+G5</f>
        <v>0</v>
      </c>
      <c r="M5" s="2" t="e">
        <f>H5-D5</f>
        <v>#DIV/0!</v>
      </c>
      <c r="N5" s="2" t="e">
        <f>C5/G5</f>
        <v>#DIV/0!</v>
      </c>
    </row>
    <row r="6" spans="1:14">
      <c r="B6" s="3" t="s">
        <v>16</v>
      </c>
      <c r="C6" s="2"/>
      <c r="D6" s="2" t="e">
        <f>C6/L6*100</f>
        <v>#DIV/0!</v>
      </c>
      <c r="E6" s="2" t="e">
        <f>C6/$C$15*100</f>
        <v>#DIV/0!</v>
      </c>
      <c r="F6" s="2" t="e">
        <f>C6/$L$15*100</f>
        <v>#DIV/0!</v>
      </c>
      <c r="G6" s="2"/>
      <c r="H6" s="2" t="e">
        <f>G6/L6*100</f>
        <v>#DIV/0!</v>
      </c>
      <c r="I6" s="2" t="e">
        <f>G6/$G$15*100</f>
        <v>#DIV/0!</v>
      </c>
      <c r="J6" s="2" t="e">
        <f>G6/$L$15*100</f>
        <v>#DIV/0!</v>
      </c>
      <c r="K6" s="2" t="e">
        <f>F6+J6</f>
        <v>#DIV/0!</v>
      </c>
      <c r="L6" s="2">
        <f>C6+G6</f>
        <v>0</v>
      </c>
      <c r="M6" s="2" t="e">
        <f>H6-D6</f>
        <v>#DIV/0!</v>
      </c>
      <c r="N6" s="2" t="e">
        <f>C6/G6</f>
        <v>#DIV/0!</v>
      </c>
    </row>
    <row r="7" spans="1:14">
      <c r="B7" s="3" t="s">
        <v>17</v>
      </c>
      <c r="C7" s="2"/>
      <c r="D7" s="2" t="e">
        <f>C7/L7*100</f>
        <v>#DIV/0!</v>
      </c>
      <c r="E7" s="2" t="e">
        <f>C7/$C$15*100</f>
        <v>#DIV/0!</v>
      </c>
      <c r="F7" s="2" t="e">
        <f>C7/$L$15*100</f>
        <v>#DIV/0!</v>
      </c>
      <c r="G7" s="2"/>
      <c r="H7" s="2" t="e">
        <f>G7/L7*100</f>
        <v>#DIV/0!</v>
      </c>
      <c r="I7" s="2" t="e">
        <f>G7/$G$15*100</f>
        <v>#DIV/0!</v>
      </c>
      <c r="J7" s="2" t="e">
        <f>G7/$L$15*100</f>
        <v>#DIV/0!</v>
      </c>
      <c r="K7" s="2" t="e">
        <f>F7+J7</f>
        <v>#DIV/0!</v>
      </c>
      <c r="L7" s="2">
        <f>C7+G7</f>
        <v>0</v>
      </c>
      <c r="M7" s="2" t="e">
        <f>H7-D7</f>
        <v>#DIV/0!</v>
      </c>
      <c r="N7" s="2" t="e">
        <f>C7/G7</f>
        <v>#DIV/0!</v>
      </c>
    </row>
    <row r="8" spans="1:14">
      <c r="B8" s="3" t="s">
        <v>18</v>
      </c>
      <c r="C8" s="2"/>
      <c r="D8" s="2" t="e">
        <f>C8/L8*100</f>
        <v>#DIV/0!</v>
      </c>
      <c r="E8" s="2" t="e">
        <f>C8/$C$15*100</f>
        <v>#DIV/0!</v>
      </c>
      <c r="F8" s="2" t="e">
        <f>C8/$L$15*100</f>
        <v>#DIV/0!</v>
      </c>
      <c r="G8" s="2"/>
      <c r="H8" s="2" t="e">
        <f>G8/L8*100</f>
        <v>#DIV/0!</v>
      </c>
      <c r="I8" s="2" t="e">
        <f>G8/$G$15*100</f>
        <v>#DIV/0!</v>
      </c>
      <c r="J8" s="2" t="e">
        <f>G8/$L$15*100</f>
        <v>#DIV/0!</v>
      </c>
      <c r="K8" s="2" t="e">
        <f>F8+J8</f>
        <v>#DIV/0!</v>
      </c>
      <c r="L8" s="2">
        <f>C8+G8</f>
        <v>0</v>
      </c>
      <c r="M8" s="2" t="e">
        <f>H8-D8</f>
        <v>#DIV/0!</v>
      </c>
      <c r="N8" s="2" t="e">
        <f>C8/G8</f>
        <v>#DIV/0!</v>
      </c>
    </row>
    <row r="9" spans="1:14">
      <c r="B9" s="3" t="s">
        <v>19</v>
      </c>
      <c r="C9" s="2"/>
      <c r="D9" s="2" t="e">
        <f>C9/L9*100</f>
        <v>#DIV/0!</v>
      </c>
      <c r="E9" s="2" t="e">
        <f>C9/$C$15*100</f>
        <v>#DIV/0!</v>
      </c>
      <c r="F9" s="2" t="e">
        <f>C9/$L$15*100</f>
        <v>#DIV/0!</v>
      </c>
      <c r="G9" s="2"/>
      <c r="H9" s="2" t="e">
        <f>G9/L9*100</f>
        <v>#DIV/0!</v>
      </c>
      <c r="I9" s="2" t="e">
        <f>G9/$G$15*100</f>
        <v>#DIV/0!</v>
      </c>
      <c r="J9" s="2" t="e">
        <f>G9/$L$15*100</f>
        <v>#DIV/0!</v>
      </c>
      <c r="K9" s="2" t="e">
        <f>F9+J9</f>
        <v>#DIV/0!</v>
      </c>
      <c r="L9" s="2">
        <f>C9+G9</f>
        <v>0</v>
      </c>
      <c r="M9" s="2" t="e">
        <f>H9-D9</f>
        <v>#DIV/0!</v>
      </c>
      <c r="N9" s="2" t="e">
        <f>C9/G9</f>
        <v>#DIV/0!</v>
      </c>
    </row>
    <row r="10" spans="1:14">
      <c r="B10" s="3" t="s">
        <v>20</v>
      </c>
      <c r="C10" s="2"/>
      <c r="D10" s="2" t="e">
        <f>C10/L10*100</f>
        <v>#DIV/0!</v>
      </c>
      <c r="E10" s="2" t="e">
        <f>C10/$C$15*100</f>
        <v>#DIV/0!</v>
      </c>
      <c r="F10" s="2" t="e">
        <f>C10/$L$15*100</f>
        <v>#DIV/0!</v>
      </c>
      <c r="G10" s="2"/>
      <c r="H10" s="2" t="e">
        <f>G10/L10*100</f>
        <v>#DIV/0!</v>
      </c>
      <c r="I10" s="2" t="e">
        <f>G10/$G$15*100</f>
        <v>#DIV/0!</v>
      </c>
      <c r="J10" s="2" t="e">
        <f>G10/$L$15*100</f>
        <v>#DIV/0!</v>
      </c>
      <c r="K10" s="2" t="e">
        <f>F10+J10</f>
        <v>#DIV/0!</v>
      </c>
      <c r="L10" s="2">
        <f>C10+G10</f>
        <v>0</v>
      </c>
      <c r="M10" s="2" t="e">
        <f>H10-D10</f>
        <v>#DIV/0!</v>
      </c>
      <c r="N10" s="2" t="e">
        <f>C10/G10</f>
        <v>#DIV/0!</v>
      </c>
    </row>
    <row r="11" spans="1:14">
      <c r="B11" s="3" t="s">
        <v>21</v>
      </c>
      <c r="C11" s="2"/>
      <c r="D11" s="2" t="e">
        <f>C11/L11*100</f>
        <v>#DIV/0!</v>
      </c>
      <c r="E11" s="2" t="e">
        <f>C11/$C$15*100</f>
        <v>#DIV/0!</v>
      </c>
      <c r="F11" s="2" t="e">
        <f>C11/$L$15*100</f>
        <v>#DIV/0!</v>
      </c>
      <c r="G11" s="2"/>
      <c r="H11" s="2" t="e">
        <f>G11/L11*100</f>
        <v>#DIV/0!</v>
      </c>
      <c r="I11" s="2" t="e">
        <f>G11/$G$15*100</f>
        <v>#DIV/0!</v>
      </c>
      <c r="J11" s="2" t="e">
        <f>G11/$L$15*100</f>
        <v>#DIV/0!</v>
      </c>
      <c r="K11" s="2" t="e">
        <f>F11+J11</f>
        <v>#DIV/0!</v>
      </c>
      <c r="L11" s="2">
        <f>C11+G11</f>
        <v>0</v>
      </c>
      <c r="M11" s="2" t="e">
        <f>H11-D11</f>
        <v>#DIV/0!</v>
      </c>
      <c r="N11" s="2" t="e">
        <f>C11/G11</f>
        <v>#DIV/0!</v>
      </c>
    </row>
    <row r="12" spans="1:14">
      <c r="B12" s="3" t="s">
        <v>139</v>
      </c>
      <c r="C12" s="2"/>
      <c r="D12" s="2" t="e">
        <f>C12/L12*100</f>
        <v>#DIV/0!</v>
      </c>
      <c r="E12" s="2" t="e">
        <f>C12/$C$15*100</f>
        <v>#DIV/0!</v>
      </c>
      <c r="F12" s="2" t="e">
        <f>C12/$L$15*100</f>
        <v>#DIV/0!</v>
      </c>
      <c r="G12" s="2"/>
      <c r="H12" s="2" t="e">
        <f>G12/L12*100</f>
        <v>#DIV/0!</v>
      </c>
      <c r="I12" s="2" t="e">
        <f>G12/$G$15*100</f>
        <v>#DIV/0!</v>
      </c>
      <c r="J12" s="2" t="e">
        <f>G12/$L$15*100</f>
        <v>#DIV/0!</v>
      </c>
      <c r="K12" s="2" t="e">
        <f>F12+J12</f>
        <v>#DIV/0!</v>
      </c>
      <c r="L12" s="2">
        <f>C12+G12</f>
        <v>0</v>
      </c>
      <c r="M12" s="2" t="e">
        <f>H12-D12</f>
        <v>#DIV/0!</v>
      </c>
      <c r="N12" s="2" t="e">
        <f>C12/G12</f>
        <v>#DIV/0!</v>
      </c>
    </row>
    <row r="13" spans="1:14">
      <c r="B13" s="3" t="s">
        <v>23</v>
      </c>
      <c r="C13" s="2"/>
      <c r="D13" s="2" t="e">
        <f>C13/L13*100</f>
        <v>#DIV/0!</v>
      </c>
      <c r="E13" s="2" t="e">
        <f>C13/$C$15*100</f>
        <v>#DIV/0!</v>
      </c>
      <c r="F13" s="2" t="e">
        <f>C13/$L$15*100</f>
        <v>#DIV/0!</v>
      </c>
      <c r="G13" s="2"/>
      <c r="H13" s="2" t="e">
        <f>G13/L13*100</f>
        <v>#DIV/0!</v>
      </c>
      <c r="I13" s="2" t="e">
        <f>G13/$G$15*100</f>
        <v>#DIV/0!</v>
      </c>
      <c r="J13" s="2" t="e">
        <f>G13/$L$15*100</f>
        <v>#DIV/0!</v>
      </c>
      <c r="K13" s="2" t="e">
        <f>F13+J13</f>
        <v>#DIV/0!</v>
      </c>
      <c r="L13" s="2">
        <f>C13+G13</f>
        <v>0</v>
      </c>
      <c r="M13" s="2" t="e">
        <f>H13-D13</f>
        <v>#DIV/0!</v>
      </c>
      <c r="N13" s="2" t="e">
        <f>C13/G13</f>
        <v>#DIV/0!</v>
      </c>
    </row>
    <row r="14" spans="1:14">
      <c r="B14" s="3" t="s">
        <v>24</v>
      </c>
      <c r="C14" s="2"/>
      <c r="D14" s="2" t="e">
        <f>C14/L14*100</f>
        <v>#DIV/0!</v>
      </c>
      <c r="E14" s="2" t="e">
        <f>C14/$C$15*100</f>
        <v>#DIV/0!</v>
      </c>
      <c r="F14" s="2" t="e">
        <f>C14/$L$15*100</f>
        <v>#DIV/0!</v>
      </c>
      <c r="G14" s="2"/>
      <c r="H14" s="2" t="e">
        <f>G14/L14*100</f>
        <v>#DIV/0!</v>
      </c>
      <c r="I14" s="2" t="e">
        <f>G14/$G$15*100</f>
        <v>#DIV/0!</v>
      </c>
      <c r="J14" s="2" t="e">
        <f>G14/$L$15*100</f>
        <v>#DIV/0!</v>
      </c>
      <c r="K14" s="2" t="e">
        <f>F14+J14</f>
        <v>#DIV/0!</v>
      </c>
      <c r="L14" s="2">
        <f>C14+G14</f>
        <v>0</v>
      </c>
      <c r="M14" s="2" t="e">
        <f>H14-D14</f>
        <v>#DIV/0!</v>
      </c>
      <c r="N14" s="2" t="e">
        <f>C14/G14</f>
        <v>#DIV/0!</v>
      </c>
    </row>
    <row r="15" spans="1:14">
      <c r="C15" s="2">
        <f>SUM(C3:C14)</f>
        <v>0</v>
      </c>
      <c r="D15" s="2"/>
      <c r="E15" s="2" t="e">
        <f>SUM(E3:E14)</f>
        <v>#DIV/0!</v>
      </c>
      <c r="F15" s="2" t="e">
        <f>SUM(F3:F14)</f>
        <v>#DIV/0!</v>
      </c>
      <c r="G15" s="2">
        <f>SUM(G3:G14)</f>
        <v>0</v>
      </c>
      <c r="H15" s="2"/>
      <c r="I15" s="2" t="e">
        <f>SUM(I3:I14)</f>
        <v>#DIV/0!</v>
      </c>
      <c r="J15" s="2" t="e">
        <f>SUM(J3:J14)</f>
        <v>#DIV/0!</v>
      </c>
      <c r="K15" s="2" t="e">
        <f>SUM(K3:K14)</f>
        <v>#DIV/0!</v>
      </c>
      <c r="L15" s="2">
        <f>SUM(L3:L14)</f>
        <v>0</v>
      </c>
      <c r="M15" s="2"/>
      <c r="N15" s="2"/>
    </row>
    <row r="17" spans="1:14">
      <c r="D17" s="14" t="s">
        <v>1</v>
      </c>
      <c r="E17" s="14" t="s">
        <v>3</v>
      </c>
    </row>
    <row r="18" spans="1:14">
      <c r="C18" s="10" t="s">
        <v>13</v>
      </c>
      <c r="D18" s="2">
        <f>C3</f>
        <v>0</v>
      </c>
      <c r="E18" s="2">
        <f>G3</f>
        <v>0</v>
      </c>
    </row>
    <row r="19" spans="1:14">
      <c r="C19" s="10" t="s">
        <v>14</v>
      </c>
      <c r="D19" s="2">
        <f>C4</f>
        <v>0</v>
      </c>
      <c r="E19" s="2">
        <f>G4</f>
        <v>0</v>
      </c>
    </row>
    <row r="20" spans="1:14">
      <c r="C20" s="10" t="s">
        <v>15</v>
      </c>
      <c r="D20" s="2">
        <f>C5</f>
        <v>0</v>
      </c>
      <c r="E20" s="2">
        <f>G5</f>
        <v>0</v>
      </c>
    </row>
    <row r="21" spans="1:14">
      <c r="C21" s="10" t="s">
        <v>16</v>
      </c>
      <c r="D21" s="2">
        <f>C6</f>
        <v>0</v>
      </c>
      <c r="E21" s="2">
        <f>G6</f>
        <v>0</v>
      </c>
    </row>
    <row r="22" spans="1:14">
      <c r="C22" s="10" t="s">
        <v>17</v>
      </c>
      <c r="D22" s="2">
        <f>C7</f>
        <v>0</v>
      </c>
      <c r="E22" s="2">
        <f>G7</f>
        <v>0</v>
      </c>
    </row>
    <row r="23" spans="1:14">
      <c r="C23" s="10" t="s">
        <v>18</v>
      </c>
      <c r="D23" s="2">
        <f>C8</f>
        <v>0</v>
      </c>
      <c r="E23" s="2">
        <f>G8</f>
        <v>0</v>
      </c>
    </row>
    <row r="24" spans="1:14">
      <c r="C24" s="10" t="s">
        <v>19</v>
      </c>
      <c r="D24" s="2">
        <f>C9</f>
        <v>0</v>
      </c>
      <c r="E24" s="2">
        <f>G9</f>
        <v>0</v>
      </c>
    </row>
    <row r="25" spans="1:14">
      <c r="C25" s="10" t="s">
        <v>20</v>
      </c>
      <c r="D25" s="2">
        <f>C10</f>
        <v>0</v>
      </c>
      <c r="E25" s="2">
        <f>G10</f>
        <v>0</v>
      </c>
    </row>
    <row r="26" spans="1:14">
      <c r="C26" s="10" t="s">
        <v>21</v>
      </c>
      <c r="D26" s="2">
        <f>C11</f>
        <v>0</v>
      </c>
      <c r="E26" s="2">
        <f>G11</f>
        <v>0</v>
      </c>
    </row>
    <row r="27" spans="1:14">
      <c r="C27" s="10" t="s">
        <v>139</v>
      </c>
      <c r="D27" s="2">
        <f>C12</f>
        <v>0</v>
      </c>
      <c r="E27" s="2">
        <f>G12</f>
        <v>0</v>
      </c>
    </row>
    <row r="28" spans="1:14">
      <c r="C28" s="10" t="s">
        <v>23</v>
      </c>
      <c r="D28" s="2">
        <f>C13</f>
        <v>0</v>
      </c>
      <c r="E28" s="2">
        <f>G13</f>
        <v>0</v>
      </c>
    </row>
    <row r="29" spans="1:14">
      <c r="C29" s="10" t="s">
        <v>24</v>
      </c>
      <c r="D29" s="2">
        <f>C14</f>
        <v>0</v>
      </c>
      <c r="E29" s="2">
        <f>G14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C55911"/>
    <outlinePr summaryBelow="1" summaryRight="1"/>
  </sheetPr>
  <dimension ref="A1:N15"/>
  <sheetViews>
    <sheetView tabSelected="0" workbookViewId="0" showGridLines="true" showRowColHeaders="1" topLeftCell="A4">
      <selection activeCell="Q14" sqref="Q14"/>
    </sheetView>
  </sheetViews>
  <sheetFormatPr defaultRowHeight="14.4" outlineLevelRow="0" outlineLevelCol="0"/>
  <cols>
    <col min="1" max="1" width="7" customWidth="true" style="0"/>
  </cols>
  <sheetData>
    <row r="2" spans="1:14" customHeight="1" ht="45">
      <c r="B2" s="11" t="s">
        <v>41</v>
      </c>
      <c r="C2" s="11" t="s">
        <v>1</v>
      </c>
      <c r="D2" s="11" t="s">
        <v>2</v>
      </c>
      <c r="E2" s="11" t="s">
        <v>9</v>
      </c>
      <c r="F2" s="11" t="s">
        <v>10</v>
      </c>
      <c r="G2" s="11" t="s">
        <v>3</v>
      </c>
      <c r="H2" s="11" t="s">
        <v>2</v>
      </c>
      <c r="I2" s="11" t="s">
        <v>9</v>
      </c>
      <c r="J2" s="11" t="s">
        <v>11</v>
      </c>
      <c r="K2" s="11" t="s">
        <v>12</v>
      </c>
      <c r="L2" s="11" t="s">
        <v>4</v>
      </c>
      <c r="M2" s="11" t="s">
        <v>5</v>
      </c>
      <c r="N2" s="11" t="s">
        <v>6</v>
      </c>
    </row>
    <row r="3" spans="1:14" customHeight="1" ht="39">
      <c r="B3" s="5" t="s">
        <v>42</v>
      </c>
      <c r="C3" s="2"/>
      <c r="D3" s="2" t="e">
        <f>C3/L3*100</f>
        <v>#DIV/0!</v>
      </c>
      <c r="E3" s="2" t="e">
        <f>C3/$C$8*100</f>
        <v>#DIV/0!</v>
      </c>
      <c r="F3" s="2" t="e">
        <f>C3/$L$8*100</f>
        <v>#DIV/0!</v>
      </c>
      <c r="G3" s="2"/>
      <c r="H3" s="2" t="e">
        <f>G3/L3*100</f>
        <v>#DIV/0!</v>
      </c>
      <c r="I3" s="2" t="e">
        <f>G3/$G$8*100</f>
        <v>#DIV/0!</v>
      </c>
      <c r="J3" s="2" t="e">
        <f>G3/$L$8*100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1:14" customHeight="1" ht="39">
      <c r="B4" s="5" t="s">
        <v>43</v>
      </c>
      <c r="C4" s="2"/>
      <c r="D4" s="2" t="e">
        <f>C4/L4*100</f>
        <v>#DIV/0!</v>
      </c>
      <c r="E4" s="2" t="e">
        <f>C4/$C$8*100</f>
        <v>#DIV/0!</v>
      </c>
      <c r="F4" s="2" t="e">
        <f>C4/$L$8*100</f>
        <v>#DIV/0!</v>
      </c>
      <c r="G4" s="2"/>
      <c r="H4" s="2" t="e">
        <f>G4/L4*100</f>
        <v>#DIV/0!</v>
      </c>
      <c r="I4" s="2" t="e">
        <f>G4/$G$8*100</f>
        <v>#DIV/0!</v>
      </c>
      <c r="J4" s="2" t="e">
        <f>G4/$L$8*100</f>
        <v>#DIV/0!</v>
      </c>
      <c r="K4" s="2" t="e">
        <f>F4+J4</f>
        <v>#DIV/0!</v>
      </c>
      <c r="L4" s="2">
        <f>C4+G4</f>
        <v>0</v>
      </c>
      <c r="M4" s="2" t="e">
        <f>H4-D4</f>
        <v>#DIV/0!</v>
      </c>
      <c r="N4" s="2" t="e">
        <f>C4/G4</f>
        <v>#DIV/0!</v>
      </c>
    </row>
    <row r="5" spans="1:14" customHeight="1" ht="26.25">
      <c r="B5" s="5" t="s">
        <v>44</v>
      </c>
      <c r="C5" s="2"/>
      <c r="D5" s="2" t="e">
        <f>C5/L5*100</f>
        <v>#DIV/0!</v>
      </c>
      <c r="E5" s="2" t="e">
        <f>C5/$C$8*100</f>
        <v>#DIV/0!</v>
      </c>
      <c r="F5" s="2" t="e">
        <f>C5/$L$8*100</f>
        <v>#DIV/0!</v>
      </c>
      <c r="G5" s="2"/>
      <c r="H5" s="2" t="e">
        <f>G5/L5*100</f>
        <v>#DIV/0!</v>
      </c>
      <c r="I5" s="2" t="e">
        <f>G5/$G$8*100</f>
        <v>#DIV/0!</v>
      </c>
      <c r="J5" s="2" t="e">
        <f>G5/$L$8*100</f>
        <v>#DIV/0!</v>
      </c>
      <c r="K5" s="2" t="e">
        <f>F5+J5</f>
        <v>#DIV/0!</v>
      </c>
      <c r="L5" s="2">
        <f>C5+G5</f>
        <v>0</v>
      </c>
      <c r="M5" s="2" t="e">
        <f>H5-D5</f>
        <v>#DIV/0!</v>
      </c>
      <c r="N5" s="2" t="e">
        <f>C5/G5</f>
        <v>#DIV/0!</v>
      </c>
    </row>
    <row r="6" spans="1:14" customHeight="1" ht="51">
      <c r="B6" s="6" t="s">
        <v>45</v>
      </c>
      <c r="C6" s="2"/>
      <c r="D6" s="2" t="e">
        <f>C6/L6*100</f>
        <v>#DIV/0!</v>
      </c>
      <c r="E6" s="2" t="e">
        <f>C6/$C$8*100</f>
        <v>#DIV/0!</v>
      </c>
      <c r="F6" s="2" t="e">
        <f>C6/$L$8*100</f>
        <v>#DIV/0!</v>
      </c>
      <c r="G6" s="2"/>
      <c r="H6" s="2" t="e">
        <f>G6/L6*100</f>
        <v>#DIV/0!</v>
      </c>
      <c r="I6" s="2" t="e">
        <f>G6/$G$8*100</f>
        <v>#DIV/0!</v>
      </c>
      <c r="J6" s="2" t="e">
        <f>G6/$L$8*100</f>
        <v>#DIV/0!</v>
      </c>
      <c r="K6" s="2" t="e">
        <f>F6+J6</f>
        <v>#DIV/0!</v>
      </c>
      <c r="L6" s="2">
        <f>C6+G6</f>
        <v>0</v>
      </c>
      <c r="M6" s="2" t="e">
        <f>H6-D6</f>
        <v>#DIV/0!</v>
      </c>
      <c r="N6" s="2" t="e">
        <f>C6/G6</f>
        <v>#DIV/0!</v>
      </c>
    </row>
    <row r="7" spans="1:14" customHeight="1" ht="51.75">
      <c r="B7" s="5" t="s">
        <v>46</v>
      </c>
      <c r="C7" s="2"/>
      <c r="D7" s="2" t="e">
        <f>C7/L7*100</f>
        <v>#DIV/0!</v>
      </c>
      <c r="E7" s="2" t="e">
        <f>C7/$C$8*100</f>
        <v>#DIV/0!</v>
      </c>
      <c r="F7" s="2" t="e">
        <f>C7/$L$8*100</f>
        <v>#DIV/0!</v>
      </c>
      <c r="G7" s="2"/>
      <c r="H7" s="2" t="e">
        <f>G7/L7*100</f>
        <v>#DIV/0!</v>
      </c>
      <c r="I7" s="2" t="e">
        <f>G7/$G$8*100</f>
        <v>#DIV/0!</v>
      </c>
      <c r="J7" s="2" t="e">
        <f>G7/$L$8*100</f>
        <v>#DIV/0!</v>
      </c>
      <c r="K7" s="2" t="e">
        <f>F7+J7</f>
        <v>#DIV/0!</v>
      </c>
      <c r="L7" s="2">
        <f>C7+G7</f>
        <v>0</v>
      </c>
      <c r="M7" s="2" t="e">
        <f>H7-D7</f>
        <v>#DIV/0!</v>
      </c>
      <c r="N7" s="2" t="e">
        <f>C7/G7</f>
        <v>#DIV/0!</v>
      </c>
    </row>
    <row r="8" spans="1:14">
      <c r="C8" s="2">
        <f>SUM(C3:C7)</f>
        <v>0</v>
      </c>
      <c r="D8" s="2"/>
      <c r="E8" s="2" t="e">
        <f>SUM(E3:E7)</f>
        <v>#DIV/0!</v>
      </c>
      <c r="F8" s="2" t="e">
        <f>SUM(F3:F7)</f>
        <v>#DIV/0!</v>
      </c>
      <c r="G8" s="2">
        <f>SUM(G3:G7)</f>
        <v>0</v>
      </c>
      <c r="H8" s="2"/>
      <c r="I8" s="2" t="e">
        <f>SUM(I3:I7)</f>
        <v>#DIV/0!</v>
      </c>
      <c r="J8" s="2" t="e">
        <f>SUM(J3:J7)</f>
        <v>#DIV/0!</v>
      </c>
      <c r="K8" s="2" t="e">
        <f>SUM(K3:K7)</f>
        <v>#DIV/0!</v>
      </c>
      <c r="L8" s="2">
        <f>SUM(L3:L7)</f>
        <v>0</v>
      </c>
      <c r="M8" s="2"/>
      <c r="N8" s="2"/>
    </row>
    <row r="10" spans="1:14">
      <c r="D10" s="14" t="s">
        <v>1</v>
      </c>
      <c r="E10" s="14" t="s">
        <v>3</v>
      </c>
    </row>
    <row r="11" spans="1:14" customHeight="1" ht="39">
      <c r="C11" s="9" t="s">
        <v>42</v>
      </c>
      <c r="D11" s="2">
        <f>C3</f>
        <v>0</v>
      </c>
      <c r="E11" s="2">
        <f>G3</f>
        <v>0</v>
      </c>
    </row>
    <row r="12" spans="1:14" customHeight="1" ht="39">
      <c r="C12" s="9" t="s">
        <v>43</v>
      </c>
      <c r="D12" s="2">
        <f>C4</f>
        <v>0</v>
      </c>
      <c r="E12" s="2">
        <f>G4</f>
        <v>0</v>
      </c>
    </row>
    <row r="13" spans="1:14" customHeight="1" ht="26.25">
      <c r="C13" s="9" t="s">
        <v>44</v>
      </c>
      <c r="D13" s="2">
        <f>C5</f>
        <v>0</v>
      </c>
      <c r="E13" s="2">
        <f>G5</f>
        <v>0</v>
      </c>
    </row>
    <row r="14" spans="1:14" customHeight="1" ht="51">
      <c r="C14" s="8" t="s">
        <v>45</v>
      </c>
      <c r="D14" s="2">
        <f>C6</f>
        <v>0</v>
      </c>
      <c r="E14" s="2">
        <f>G6</f>
        <v>0</v>
      </c>
    </row>
    <row r="15" spans="1:14" customHeight="1" ht="51.75">
      <c r="C15" s="9" t="s">
        <v>46</v>
      </c>
      <c r="D15" s="2">
        <f>C7</f>
        <v>0</v>
      </c>
      <c r="E15" s="2">
        <f>G7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C55911"/>
    <outlinePr summaryBelow="1" summaryRight="1"/>
  </sheetPr>
  <dimension ref="A1:N13"/>
  <sheetViews>
    <sheetView tabSelected="0" workbookViewId="0" showGridLines="true" showRowColHeaders="1">
      <selection activeCell="D9" sqref="D9:F13"/>
    </sheetView>
  </sheetViews>
  <sheetFormatPr defaultRowHeight="14.4" outlineLevelRow="0" outlineLevelCol="0"/>
  <cols>
    <col min="1" max="1" width="6.42578125" customWidth="true" style="0"/>
  </cols>
  <sheetData>
    <row r="2" spans="1:14" customHeight="1" ht="45">
      <c r="B2" s="11" t="s">
        <v>140</v>
      </c>
      <c r="C2" s="11" t="s">
        <v>1</v>
      </c>
      <c r="D2" s="11" t="s">
        <v>2</v>
      </c>
      <c r="E2" s="11" t="s">
        <v>9</v>
      </c>
      <c r="F2" s="11" t="s">
        <v>10</v>
      </c>
      <c r="G2" s="11" t="s">
        <v>3</v>
      </c>
      <c r="H2" s="11" t="s">
        <v>2</v>
      </c>
      <c r="I2" s="11" t="s">
        <v>9</v>
      </c>
      <c r="J2" s="11" t="s">
        <v>11</v>
      </c>
      <c r="K2" s="11" t="s">
        <v>12</v>
      </c>
      <c r="L2" s="11" t="s">
        <v>4</v>
      </c>
      <c r="M2" s="11" t="s">
        <v>5</v>
      </c>
      <c r="N2" s="11" t="s">
        <v>6</v>
      </c>
    </row>
    <row r="3" spans="1:14" customHeight="1" ht="26.25">
      <c r="B3" s="5" t="s">
        <v>48</v>
      </c>
      <c r="C3" s="2"/>
      <c r="D3" s="2" t="e">
        <f>C3/L3*100</f>
        <v>#DIV/0!</v>
      </c>
      <c r="E3" s="2" t="e">
        <f>C3/$C$7*100</f>
        <v>#DIV/0!</v>
      </c>
      <c r="F3" s="2" t="e">
        <f>C3/$L$7*100</f>
        <v>#DIV/0!</v>
      </c>
      <c r="G3" s="2"/>
      <c r="H3" s="2" t="e">
        <f>G3/L3*100</f>
        <v>#DIV/0!</v>
      </c>
      <c r="I3" s="2" t="e">
        <f>G3/$G$7*100</f>
        <v>#DIV/0!</v>
      </c>
      <c r="J3" s="2" t="e">
        <f>G3/$L$7*100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1:14" customHeight="1" ht="26.25">
      <c r="B4" s="5" t="s">
        <v>49</v>
      </c>
      <c r="C4" s="2"/>
      <c r="D4" s="2" t="e">
        <f>C4/L4*100</f>
        <v>#DIV/0!</v>
      </c>
      <c r="E4" s="2" t="e">
        <f>C4/$C$7*100</f>
        <v>#DIV/0!</v>
      </c>
      <c r="F4" s="2" t="e">
        <f>C4/$L$7*100</f>
        <v>#DIV/0!</v>
      </c>
      <c r="G4" s="2"/>
      <c r="H4" s="2" t="e">
        <f>G4/L4*100</f>
        <v>#DIV/0!</v>
      </c>
      <c r="I4" s="2" t="e">
        <f>G4/$G$7*100</f>
        <v>#DIV/0!</v>
      </c>
      <c r="J4" s="2" t="e">
        <f>G4/$L$7*100</f>
        <v>#DIV/0!</v>
      </c>
      <c r="K4" s="2" t="e">
        <f>F4+J4</f>
        <v>#DIV/0!</v>
      </c>
      <c r="L4" s="2">
        <f>C4+G4</f>
        <v>0</v>
      </c>
      <c r="M4" s="2" t="e">
        <f>H4-D4</f>
        <v>#DIV/0!</v>
      </c>
      <c r="N4" s="2" t="e">
        <f>C4/G4</f>
        <v>#DIV/0!</v>
      </c>
    </row>
    <row r="5" spans="1:14" customHeight="1" ht="26.25">
      <c r="B5" s="5" t="s">
        <v>50</v>
      </c>
      <c r="C5" s="2"/>
      <c r="D5" s="2" t="e">
        <f>C5/L5*100</f>
        <v>#DIV/0!</v>
      </c>
      <c r="E5" s="2" t="e">
        <f>C5/$C$7*100</f>
        <v>#DIV/0!</v>
      </c>
      <c r="F5" s="2" t="e">
        <f>C5/$L$7*100</f>
        <v>#DIV/0!</v>
      </c>
      <c r="G5" s="2"/>
      <c r="H5" s="2" t="e">
        <f>G5/L5*100</f>
        <v>#DIV/0!</v>
      </c>
      <c r="I5" s="2" t="e">
        <f>G5/$G$7*100</f>
        <v>#DIV/0!</v>
      </c>
      <c r="J5" s="2" t="e">
        <f>G5/$L$7*100</f>
        <v>#DIV/0!</v>
      </c>
      <c r="K5" s="2" t="e">
        <f>F5+J5</f>
        <v>#DIV/0!</v>
      </c>
      <c r="L5" s="2">
        <f>C5+G5</f>
        <v>0</v>
      </c>
      <c r="M5" s="2" t="e">
        <f>H5-D5</f>
        <v>#DIV/0!</v>
      </c>
      <c r="N5" s="2" t="e">
        <f>C5/G5</f>
        <v>#DIV/0!</v>
      </c>
    </row>
    <row r="6" spans="1:14" customHeight="1" ht="25.5">
      <c r="B6" s="6" t="s">
        <v>51</v>
      </c>
      <c r="C6" s="2"/>
      <c r="D6" s="2" t="e">
        <f>C6/L6*100</f>
        <v>#DIV/0!</v>
      </c>
      <c r="E6" s="2" t="e">
        <f>C6/$C$7*100</f>
        <v>#DIV/0!</v>
      </c>
      <c r="F6" s="2" t="e">
        <f>C6/$L$7*100</f>
        <v>#DIV/0!</v>
      </c>
      <c r="G6" s="2"/>
      <c r="H6" s="2" t="e">
        <f>G6/L6*100</f>
        <v>#DIV/0!</v>
      </c>
      <c r="I6" s="2" t="e">
        <f>G6/$G$7*100</f>
        <v>#DIV/0!</v>
      </c>
      <c r="J6" s="2" t="e">
        <f>G6/$L$7*100</f>
        <v>#DIV/0!</v>
      </c>
      <c r="K6" s="2" t="e">
        <f>F6+J6</f>
        <v>#DIV/0!</v>
      </c>
      <c r="L6" s="2">
        <f>C6+G6</f>
        <v>0</v>
      </c>
      <c r="M6" s="2" t="e">
        <f>H6-D6</f>
        <v>#DIV/0!</v>
      </c>
      <c r="N6" s="2" t="e">
        <f>C6/G6</f>
        <v>#DIV/0!</v>
      </c>
    </row>
    <row r="7" spans="1:14">
      <c r="C7" s="2">
        <f>SUM(C3:C6)</f>
        <v>0</v>
      </c>
      <c r="D7" s="2"/>
      <c r="E7" s="2" t="e">
        <f>SUM(E3:E6)</f>
        <v>#DIV/0!</v>
      </c>
      <c r="F7" s="2" t="e">
        <f>SUM(F3:F6)</f>
        <v>#DIV/0!</v>
      </c>
      <c r="G7" s="2">
        <f>SUM(G3:G6)</f>
        <v>0</v>
      </c>
      <c r="H7" s="2"/>
      <c r="I7" s="2" t="e">
        <f>SUM(I3:I6)</f>
        <v>#DIV/0!</v>
      </c>
      <c r="J7" s="2" t="e">
        <f>SUM(J3:J6)</f>
        <v>#DIV/0!</v>
      </c>
      <c r="K7" s="2" t="e">
        <f>SUM(K3:K6)</f>
        <v>#DIV/0!</v>
      </c>
      <c r="L7" s="2">
        <f>SUM(L3:L6)</f>
        <v>0</v>
      </c>
      <c r="M7" s="2"/>
      <c r="N7" s="2"/>
    </row>
    <row r="9" spans="1:14">
      <c r="E9" s="14" t="s">
        <v>1</v>
      </c>
      <c r="F9" s="14" t="s">
        <v>3</v>
      </c>
    </row>
    <row r="10" spans="1:14" customHeight="1" ht="26.25">
      <c r="D10" s="9" t="s">
        <v>48</v>
      </c>
      <c r="E10" s="2">
        <f>C3</f>
        <v>0</v>
      </c>
      <c r="F10" s="2">
        <f>G3</f>
        <v>0</v>
      </c>
    </row>
    <row r="11" spans="1:14" customHeight="1" ht="26.25">
      <c r="D11" s="9" t="s">
        <v>49</v>
      </c>
      <c r="E11" s="2">
        <f>C4</f>
        <v>0</v>
      </c>
      <c r="F11" s="2">
        <f>G4</f>
        <v>0</v>
      </c>
    </row>
    <row r="12" spans="1:14" customHeight="1" ht="26.25">
      <c r="D12" s="9" t="s">
        <v>50</v>
      </c>
      <c r="E12" s="2">
        <f>C5</f>
        <v>0</v>
      </c>
      <c r="F12" s="2">
        <f>G5</f>
        <v>0</v>
      </c>
    </row>
    <row r="13" spans="1:14" customHeight="1" ht="25.5">
      <c r="D13" s="8" t="s">
        <v>51</v>
      </c>
      <c r="E13" s="2">
        <f>C6</f>
        <v>0</v>
      </c>
      <c r="F13" s="2">
        <f>G6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C55911"/>
    <outlinePr summaryBelow="1" summaryRight="1"/>
  </sheetPr>
  <dimension ref="A1:N25"/>
  <sheetViews>
    <sheetView tabSelected="0" workbookViewId="0" showGridLines="true" showRowColHeaders="1">
      <selection activeCell="C15" sqref="C15:E25"/>
    </sheetView>
  </sheetViews>
  <sheetFormatPr defaultRowHeight="14.4" outlineLevelRow="0" outlineLevelCol="0"/>
  <cols>
    <col min="1" max="1" width="6" customWidth="true" style="0"/>
    <col min="2" max="2" width="13.85546875" customWidth="true" style="0"/>
  </cols>
  <sheetData>
    <row r="2" spans="1:14" customHeight="1" ht="45">
      <c r="B2" s="11" t="s">
        <v>86</v>
      </c>
      <c r="C2" s="11" t="s">
        <v>1</v>
      </c>
      <c r="D2" s="11" t="s">
        <v>2</v>
      </c>
      <c r="E2" s="11" t="s">
        <v>9</v>
      </c>
      <c r="F2" s="11" t="s">
        <v>10</v>
      </c>
      <c r="G2" s="11" t="s">
        <v>3</v>
      </c>
      <c r="H2" s="11" t="s">
        <v>2</v>
      </c>
      <c r="I2" s="11" t="s">
        <v>9</v>
      </c>
      <c r="J2" s="11" t="s">
        <v>11</v>
      </c>
      <c r="K2" s="11" t="s">
        <v>12</v>
      </c>
      <c r="L2" s="11" t="s">
        <v>4</v>
      </c>
      <c r="M2" s="11" t="s">
        <v>5</v>
      </c>
      <c r="N2" s="11" t="s">
        <v>6</v>
      </c>
    </row>
    <row r="3" spans="1:14">
      <c r="B3" s="5"/>
      <c r="C3" s="2"/>
      <c r="D3" s="2" t="e">
        <f>C3/L3*100</f>
        <v>#DIV/0!</v>
      </c>
      <c r="E3" s="2" t="e">
        <f>C3/$C$13*100</f>
        <v>#DIV/0!</v>
      </c>
      <c r="F3" s="2" t="e">
        <f>C3/$L$13*100</f>
        <v>#DIV/0!</v>
      </c>
      <c r="G3" s="2"/>
      <c r="H3" s="2" t="e">
        <f>G3/L3*100</f>
        <v>#DIV/0!</v>
      </c>
      <c r="I3" s="2" t="e">
        <f>G3/$G$13*100</f>
        <v>#DIV/0!</v>
      </c>
      <c r="J3" s="2" t="e">
        <f>G3/$L$13*100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1:14">
      <c r="B4" s="5"/>
      <c r="C4" s="2"/>
      <c r="D4" s="2" t="e">
        <f>C4/L4*100</f>
        <v>#DIV/0!</v>
      </c>
      <c r="E4" s="2" t="e">
        <f>C4/$C$13*100</f>
        <v>#DIV/0!</v>
      </c>
      <c r="F4" s="2" t="e">
        <f>C4/$L$13*100</f>
        <v>#DIV/0!</v>
      </c>
      <c r="G4" s="2"/>
      <c r="H4" s="2" t="e">
        <f>G4/L4*100</f>
        <v>#DIV/0!</v>
      </c>
      <c r="I4" s="2" t="e">
        <f>G4/$G$13*100</f>
        <v>#DIV/0!</v>
      </c>
      <c r="J4" s="2" t="e">
        <f>G4/$L$13*100</f>
        <v>#DIV/0!</v>
      </c>
      <c r="K4" s="2" t="e">
        <f>F4+J4</f>
        <v>#DIV/0!</v>
      </c>
      <c r="L4" s="2">
        <f>C4+G4</f>
        <v>0</v>
      </c>
      <c r="M4" s="2" t="e">
        <f>H4-D4</f>
        <v>#DIV/0!</v>
      </c>
      <c r="N4" s="2" t="e">
        <f>C4/G4</f>
        <v>#DIV/0!</v>
      </c>
    </row>
    <row r="5" spans="1:14">
      <c r="B5" s="5"/>
      <c r="C5" s="2"/>
      <c r="D5" s="2" t="e">
        <f>C5/L5*100</f>
        <v>#DIV/0!</v>
      </c>
      <c r="E5" s="2" t="e">
        <f>C5/$C$13*100</f>
        <v>#DIV/0!</v>
      </c>
      <c r="F5" s="2" t="e">
        <f>C5/$L$13*100</f>
        <v>#DIV/0!</v>
      </c>
      <c r="G5" s="2"/>
      <c r="H5" s="2" t="e">
        <f>G5/L5*100</f>
        <v>#DIV/0!</v>
      </c>
      <c r="I5" s="2" t="e">
        <f>G5/$G$13*100</f>
        <v>#DIV/0!</v>
      </c>
      <c r="J5" s="2" t="e">
        <f>G5/$L$13*100</f>
        <v>#DIV/0!</v>
      </c>
      <c r="K5" s="2" t="e">
        <f>F5+J5</f>
        <v>#DIV/0!</v>
      </c>
      <c r="L5" s="2">
        <f>C5+G5</f>
        <v>0</v>
      </c>
      <c r="M5" s="2" t="e">
        <f>H5-D5</f>
        <v>#DIV/0!</v>
      </c>
      <c r="N5" s="2" t="e">
        <f>C5/G5</f>
        <v>#DIV/0!</v>
      </c>
    </row>
    <row r="6" spans="1:14">
      <c r="B6" s="5"/>
      <c r="C6" s="2"/>
      <c r="D6" s="2" t="e">
        <f>C6/L6*100</f>
        <v>#DIV/0!</v>
      </c>
      <c r="E6" s="2" t="e">
        <f>C6/$C$13*100</f>
        <v>#DIV/0!</v>
      </c>
      <c r="F6" s="2" t="e">
        <f>C6/$L$13*100</f>
        <v>#DIV/0!</v>
      </c>
      <c r="G6" s="2"/>
      <c r="H6" s="2" t="e">
        <f>G6/L6*100</f>
        <v>#DIV/0!</v>
      </c>
      <c r="I6" s="2" t="e">
        <f>G6/$G$13*100</f>
        <v>#DIV/0!</v>
      </c>
      <c r="J6" s="2" t="e">
        <f>G6/$L$13*100</f>
        <v>#DIV/0!</v>
      </c>
      <c r="K6" s="2" t="e">
        <f>F6+J6</f>
        <v>#DIV/0!</v>
      </c>
      <c r="L6" s="2">
        <f>C6+G6</f>
        <v>0</v>
      </c>
      <c r="M6" s="2" t="e">
        <f>H6-D6</f>
        <v>#DIV/0!</v>
      </c>
      <c r="N6" s="2" t="e">
        <f>C6/G6</f>
        <v>#DIV/0!</v>
      </c>
    </row>
    <row r="7" spans="1:14">
      <c r="B7" s="5"/>
      <c r="C7" s="2"/>
      <c r="D7" s="2" t="e">
        <f>C7/L7*100</f>
        <v>#DIV/0!</v>
      </c>
      <c r="E7" s="2" t="e">
        <f>C7/$C$13*100</f>
        <v>#DIV/0!</v>
      </c>
      <c r="F7" s="2" t="e">
        <f>C7/$L$13*100</f>
        <v>#DIV/0!</v>
      </c>
      <c r="G7" s="2"/>
      <c r="H7" s="2" t="e">
        <f>G7/L7*100</f>
        <v>#DIV/0!</v>
      </c>
      <c r="I7" s="2" t="e">
        <f>G7/$G$13*100</f>
        <v>#DIV/0!</v>
      </c>
      <c r="J7" s="2" t="e">
        <f>G7/$L$13*100</f>
        <v>#DIV/0!</v>
      </c>
      <c r="K7" s="2" t="e">
        <f>F7+J7</f>
        <v>#DIV/0!</v>
      </c>
      <c r="L7" s="2">
        <f>C7+G7</f>
        <v>0</v>
      </c>
      <c r="M7" s="2" t="e">
        <f>H7-D7</f>
        <v>#DIV/0!</v>
      </c>
      <c r="N7" s="2" t="e">
        <f>C7/G7</f>
        <v>#DIV/0!</v>
      </c>
    </row>
    <row r="8" spans="1:14">
      <c r="B8" s="5"/>
      <c r="C8" s="2"/>
      <c r="D8" s="2" t="e">
        <f>C8/L8*100</f>
        <v>#DIV/0!</v>
      </c>
      <c r="E8" s="2" t="e">
        <f>C8/$C$13*100</f>
        <v>#DIV/0!</v>
      </c>
      <c r="F8" s="2" t="e">
        <f>C8/$L$13*100</f>
        <v>#DIV/0!</v>
      </c>
      <c r="G8" s="2"/>
      <c r="H8" s="2" t="e">
        <f>G8/L8*100</f>
        <v>#DIV/0!</v>
      </c>
      <c r="I8" s="2" t="e">
        <f>G8/$G$13*100</f>
        <v>#DIV/0!</v>
      </c>
      <c r="J8" s="2" t="e">
        <f>G8/$L$13*100</f>
        <v>#DIV/0!</v>
      </c>
      <c r="K8" s="2" t="e">
        <f>F8+J8</f>
        <v>#DIV/0!</v>
      </c>
      <c r="L8" s="2">
        <f>C8+G8</f>
        <v>0</v>
      </c>
      <c r="M8" s="2" t="e">
        <f>H8-D8</f>
        <v>#DIV/0!</v>
      </c>
      <c r="N8" s="2" t="e">
        <f>C8/G8</f>
        <v>#DIV/0!</v>
      </c>
    </row>
    <row r="9" spans="1:14">
      <c r="B9" s="5"/>
      <c r="C9" s="2"/>
      <c r="D9" s="2" t="e">
        <f>C9/L9*100</f>
        <v>#DIV/0!</v>
      </c>
      <c r="E9" s="2" t="e">
        <f>C9/$C$13*100</f>
        <v>#DIV/0!</v>
      </c>
      <c r="F9" s="2" t="e">
        <f>C9/$L$13*100</f>
        <v>#DIV/0!</v>
      </c>
      <c r="G9" s="2"/>
      <c r="H9" s="2" t="e">
        <f>G9/L9*100</f>
        <v>#DIV/0!</v>
      </c>
      <c r="I9" s="2" t="e">
        <f>G9/$G$13*100</f>
        <v>#DIV/0!</v>
      </c>
      <c r="J9" s="2" t="e">
        <f>G9/$L$13*100</f>
        <v>#DIV/0!</v>
      </c>
      <c r="K9" s="2" t="e">
        <f>F9+J9</f>
        <v>#DIV/0!</v>
      </c>
      <c r="L9" s="2">
        <f>C9+G9</f>
        <v>0</v>
      </c>
      <c r="M9" s="2" t="e">
        <f>H9-D9</f>
        <v>#DIV/0!</v>
      </c>
      <c r="N9" s="2" t="e">
        <f>C9/G9</f>
        <v>#DIV/0!</v>
      </c>
    </row>
    <row r="10" spans="1:14">
      <c r="B10" s="5"/>
      <c r="C10" s="2"/>
      <c r="D10" s="2" t="e">
        <f>C10/L10*100</f>
        <v>#DIV/0!</v>
      </c>
      <c r="E10" s="2" t="e">
        <f>C10/$C$13*100</f>
        <v>#DIV/0!</v>
      </c>
      <c r="F10" s="2" t="e">
        <f>C10/$L$13*100</f>
        <v>#DIV/0!</v>
      </c>
      <c r="G10" s="2"/>
      <c r="H10" s="2" t="e">
        <f>G10/L10*100</f>
        <v>#DIV/0!</v>
      </c>
      <c r="I10" s="2" t="e">
        <f>G10/$G$13*100</f>
        <v>#DIV/0!</v>
      </c>
      <c r="J10" s="2" t="e">
        <f>G10/$L$13*100</f>
        <v>#DIV/0!</v>
      </c>
      <c r="K10" s="2" t="e">
        <f>F10+J10</f>
        <v>#DIV/0!</v>
      </c>
      <c r="L10" s="2">
        <f>C10+G10</f>
        <v>0</v>
      </c>
      <c r="M10" s="2" t="e">
        <f>H10-D10</f>
        <v>#DIV/0!</v>
      </c>
      <c r="N10" s="2" t="e">
        <f>C10/G10</f>
        <v>#DIV/0!</v>
      </c>
    </row>
    <row r="11" spans="1:14">
      <c r="B11" s="5"/>
      <c r="C11" s="2"/>
      <c r="D11" s="2" t="e">
        <f>C11/L11*100</f>
        <v>#DIV/0!</v>
      </c>
      <c r="E11" s="2" t="e">
        <f>C11/$C$13*100</f>
        <v>#DIV/0!</v>
      </c>
      <c r="F11" s="2" t="e">
        <f>C11/$L$13*100</f>
        <v>#DIV/0!</v>
      </c>
      <c r="G11" s="2"/>
      <c r="H11" s="2" t="e">
        <f>G11/L11*100</f>
        <v>#DIV/0!</v>
      </c>
      <c r="I11" s="2" t="e">
        <f>G11/$G$13*100</f>
        <v>#DIV/0!</v>
      </c>
      <c r="J11" s="2" t="e">
        <f>G11/$L$13*100</f>
        <v>#DIV/0!</v>
      </c>
      <c r="K11" s="2" t="e">
        <f>F11+J11</f>
        <v>#DIV/0!</v>
      </c>
      <c r="L11" s="2">
        <f>C11+G11</f>
        <v>0</v>
      </c>
      <c r="M11" s="2" t="e">
        <f>H11-D11</f>
        <v>#DIV/0!</v>
      </c>
      <c r="N11" s="2" t="e">
        <f>C11/G11</f>
        <v>#DIV/0!</v>
      </c>
    </row>
    <row r="12" spans="1:14">
      <c r="B12" s="6"/>
      <c r="C12" s="2"/>
      <c r="D12" s="2" t="e">
        <f>C12/L12*100</f>
        <v>#DIV/0!</v>
      </c>
      <c r="E12" s="2" t="e">
        <f>C12/$C$13*100</f>
        <v>#DIV/0!</v>
      </c>
      <c r="F12" s="2" t="e">
        <f>C12/$L$13*100</f>
        <v>#DIV/0!</v>
      </c>
      <c r="G12" s="2"/>
      <c r="H12" s="2" t="e">
        <f>G12/L12*100</f>
        <v>#DIV/0!</v>
      </c>
      <c r="I12" s="2" t="e">
        <f>G12/$G$13*100</f>
        <v>#DIV/0!</v>
      </c>
      <c r="J12" s="2" t="e">
        <f>G12/$L$13*100</f>
        <v>#DIV/0!</v>
      </c>
      <c r="K12" s="2" t="e">
        <f>F12+J12</f>
        <v>#DIV/0!</v>
      </c>
      <c r="L12" s="2">
        <f>C12+G12</f>
        <v>0</v>
      </c>
      <c r="M12" s="2" t="e">
        <f>H12-D12</f>
        <v>#DIV/0!</v>
      </c>
      <c r="N12" s="2" t="e">
        <f>C12/G12</f>
        <v>#DIV/0!</v>
      </c>
    </row>
    <row r="13" spans="1:14">
      <c r="C13" s="2">
        <f>SUM(C3:C12)</f>
        <v>0</v>
      </c>
      <c r="D13" s="2"/>
      <c r="E13" s="2" t="e">
        <f>SUM(E3:E12)</f>
        <v>#DIV/0!</v>
      </c>
      <c r="F13" s="2" t="e">
        <f>SUM(F3:F12)</f>
        <v>#DIV/0!</v>
      </c>
      <c r="G13" s="2">
        <f>SUM(G3:G12)</f>
        <v>0</v>
      </c>
      <c r="H13" s="2"/>
      <c r="I13" s="2" t="e">
        <f>SUM(I3:I12)</f>
        <v>#DIV/0!</v>
      </c>
      <c r="J13" s="2" t="e">
        <f>SUM(J3:J12)</f>
        <v>#DIV/0!</v>
      </c>
      <c r="K13" s="2" t="e">
        <f>SUM(K3:K12)</f>
        <v>#DIV/0!</v>
      </c>
      <c r="L13" s="2">
        <f>SUM(L3:L12)</f>
        <v>0</v>
      </c>
      <c r="M13" s="2"/>
      <c r="N13" s="2"/>
    </row>
    <row r="15" spans="1:14">
      <c r="D15" s="14" t="s">
        <v>1</v>
      </c>
      <c r="E15" s="14" t="s">
        <v>3</v>
      </c>
    </row>
    <row r="16" spans="1:14">
      <c r="C16" s="9"/>
      <c r="D16" s="2">
        <f>C3</f>
        <v>0</v>
      </c>
      <c r="E16" s="2">
        <f>G3</f>
        <v>0</v>
      </c>
    </row>
    <row r="17" spans="1:14">
      <c r="C17" s="9"/>
      <c r="D17" s="2">
        <f>C4</f>
        <v>0</v>
      </c>
      <c r="E17" s="2">
        <f>G4</f>
        <v>0</v>
      </c>
    </row>
    <row r="18" spans="1:14">
      <c r="C18" s="9"/>
      <c r="D18" s="2">
        <f>C5</f>
        <v>0</v>
      </c>
      <c r="E18" s="2">
        <f>G5</f>
        <v>0</v>
      </c>
    </row>
    <row r="19" spans="1:14">
      <c r="C19" s="9"/>
      <c r="D19" s="2">
        <f>C6</f>
        <v>0</v>
      </c>
      <c r="E19" s="2">
        <f>G6</f>
        <v>0</v>
      </c>
    </row>
    <row r="20" spans="1:14">
      <c r="C20" s="9"/>
      <c r="D20" s="2">
        <f>C7</f>
        <v>0</v>
      </c>
      <c r="E20" s="2">
        <f>G7</f>
        <v>0</v>
      </c>
    </row>
    <row r="21" spans="1:14">
      <c r="C21" s="9"/>
      <c r="D21" s="2">
        <f>C8</f>
        <v>0</v>
      </c>
      <c r="E21" s="2">
        <f>G8</f>
        <v>0</v>
      </c>
    </row>
    <row r="22" spans="1:14">
      <c r="C22" s="9"/>
      <c r="D22" s="2">
        <f>C9</f>
        <v>0</v>
      </c>
      <c r="E22" s="2">
        <f>G9</f>
        <v>0</v>
      </c>
    </row>
    <row r="23" spans="1:14">
      <c r="C23" s="9"/>
      <c r="D23" s="2">
        <f>C10</f>
        <v>0</v>
      </c>
      <c r="E23" s="2">
        <f>G10</f>
        <v>0</v>
      </c>
    </row>
    <row r="24" spans="1:14">
      <c r="C24" s="9"/>
      <c r="D24" s="2">
        <f>C11</f>
        <v>0</v>
      </c>
      <c r="E24" s="2">
        <f>G11</f>
        <v>0</v>
      </c>
    </row>
    <row r="25" spans="1:14">
      <c r="C25" s="8"/>
      <c r="D25" s="2">
        <f>C12</f>
        <v>0</v>
      </c>
      <c r="E25" s="2">
        <f>G12</f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C55911"/>
    <outlinePr summaryBelow="1" summaryRight="1"/>
  </sheetPr>
  <dimension ref="A1:N23"/>
  <sheetViews>
    <sheetView tabSelected="0" workbookViewId="0" showGridLines="true" showRowColHeaders="1">
      <selection activeCell="C15" sqref="C15:E23"/>
    </sheetView>
  </sheetViews>
  <sheetFormatPr defaultRowHeight="14.4" outlineLevelRow="0" outlineLevelCol="0"/>
  <cols>
    <col min="1" max="1" width="5.85546875" customWidth="true" style="0"/>
    <col min="2" max="2" width="13.85546875" customWidth="true" style="0"/>
  </cols>
  <sheetData>
    <row r="2" spans="1:14" customHeight="1" ht="45">
      <c r="B2" s="11" t="s">
        <v>52</v>
      </c>
      <c r="C2" s="11" t="s">
        <v>1</v>
      </c>
      <c r="D2" s="11" t="s">
        <v>2</v>
      </c>
      <c r="E2" s="11" t="s">
        <v>9</v>
      </c>
      <c r="F2" s="11" t="s">
        <v>10</v>
      </c>
      <c r="G2" s="11" t="s">
        <v>3</v>
      </c>
      <c r="H2" s="11" t="s">
        <v>2</v>
      </c>
      <c r="I2" s="11" t="s">
        <v>9</v>
      </c>
      <c r="J2" s="11" t="s">
        <v>11</v>
      </c>
      <c r="K2" s="11" t="s">
        <v>12</v>
      </c>
      <c r="L2" s="11" t="s">
        <v>4</v>
      </c>
      <c r="M2" s="11" t="s">
        <v>5</v>
      </c>
      <c r="N2" s="11" t="s">
        <v>6</v>
      </c>
    </row>
    <row r="3" spans="1:14">
      <c r="B3" s="5"/>
      <c r="C3" s="2"/>
      <c r="D3" s="2" t="e">
        <f>C3/L3*100</f>
        <v>#DIV/0!</v>
      </c>
      <c r="E3" s="2" t="e">
        <f>C3/$C$13*100</f>
        <v>#DIV/0!</v>
      </c>
      <c r="F3" s="2" t="e">
        <f>C3/$L$13*100</f>
        <v>#DIV/0!</v>
      </c>
      <c r="G3" s="2"/>
      <c r="H3" s="2" t="e">
        <f>G3/L3*100</f>
        <v>#DIV/0!</v>
      </c>
      <c r="I3" s="2" t="e">
        <f>G3/$G$13*100</f>
        <v>#DIV/0!</v>
      </c>
      <c r="J3" s="2" t="e">
        <f>G3/$L$13*100</f>
        <v>#DIV/0!</v>
      </c>
      <c r="K3" s="2" t="e">
        <f>F3+J3</f>
        <v>#DIV/0!</v>
      </c>
      <c r="L3" s="2">
        <f>C3+G3</f>
        <v>0</v>
      </c>
      <c r="M3" s="2" t="e">
        <f>H3-D3</f>
        <v>#DIV/0!</v>
      </c>
      <c r="N3" s="2" t="e">
        <f>C3/G3</f>
        <v>#DIV/0!</v>
      </c>
    </row>
    <row r="4" spans="1:14">
      <c r="B4" s="5"/>
      <c r="C4" s="2"/>
      <c r="D4" s="2" t="e">
        <f>C4/L4*100</f>
        <v>#DIV/0!</v>
      </c>
      <c r="E4" s="2" t="e">
        <f>C4/$C$13*100</f>
        <v>#DIV/0!</v>
      </c>
      <c r="F4" s="2" t="e">
        <f>C4/$L$13*100</f>
        <v>#DIV/0!</v>
      </c>
      <c r="G4" s="2"/>
      <c r="H4" s="2" t="e">
        <f>G4/L4*100</f>
        <v>#DIV/0!</v>
      </c>
      <c r="I4" s="2" t="e">
        <f>G4/$G$13*100</f>
        <v>#DIV/0!</v>
      </c>
      <c r="J4" s="2" t="e">
        <f>G4/$L$13*100</f>
        <v>#DIV/0!</v>
      </c>
      <c r="K4" s="2" t="e">
        <f>F4+J4</f>
        <v>#DIV/0!</v>
      </c>
      <c r="L4" s="2">
        <f>C4+G4</f>
        <v>0</v>
      </c>
      <c r="M4" s="2" t="e">
        <f>H4-D4</f>
        <v>#DIV/0!</v>
      </c>
      <c r="N4" s="2" t="e">
        <f>C4/G4</f>
        <v>#DIV/0!</v>
      </c>
    </row>
    <row r="5" spans="1:14">
      <c r="B5" s="5"/>
      <c r="C5" s="2"/>
      <c r="D5" s="2" t="e">
        <f>C5/L5*100</f>
        <v>#DIV/0!</v>
      </c>
      <c r="E5" s="2" t="e">
        <f>C5/$C$13*100</f>
        <v>#DIV/0!</v>
      </c>
      <c r="F5" s="2" t="e">
        <f>C5/$L$13*100</f>
        <v>#DIV/0!</v>
      </c>
      <c r="G5" s="2"/>
      <c r="H5" s="2" t="e">
        <f>G5/L5*100</f>
        <v>#DIV/0!</v>
      </c>
      <c r="I5" s="2" t="e">
        <f>G5/$G$13*100</f>
        <v>#DIV/0!</v>
      </c>
      <c r="J5" s="2" t="e">
        <f>G5/$L$13*100</f>
        <v>#DIV/0!</v>
      </c>
      <c r="K5" s="2" t="e">
        <f>F5+J5</f>
        <v>#DIV/0!</v>
      </c>
      <c r="L5" s="2">
        <f>C5+G5</f>
        <v>0</v>
      </c>
      <c r="M5" s="2" t="e">
        <f>H5-D5</f>
        <v>#DIV/0!</v>
      </c>
      <c r="N5" s="2" t="e">
        <f>C5/G5</f>
        <v>#DIV/0!</v>
      </c>
    </row>
    <row r="6" spans="1:14">
      <c r="B6" s="5"/>
      <c r="C6" s="2"/>
      <c r="D6" s="2" t="e">
        <f>C6/L6*100</f>
        <v>#DIV/0!</v>
      </c>
      <c r="E6" s="2" t="e">
        <f>C6/$C$13*100</f>
        <v>#DIV/0!</v>
      </c>
      <c r="F6" s="2" t="e">
        <f>C6/$L$13*100</f>
        <v>#DIV/0!</v>
      </c>
      <c r="G6" s="2"/>
      <c r="H6" s="2" t="e">
        <f>G6/L6*100</f>
        <v>#DIV/0!</v>
      </c>
      <c r="I6" s="2" t="e">
        <f>G6/$G$13*100</f>
        <v>#DIV/0!</v>
      </c>
      <c r="J6" s="2" t="e">
        <f>G6/$L$13*100</f>
        <v>#DIV/0!</v>
      </c>
      <c r="K6" s="2" t="e">
        <f>F6+J6</f>
        <v>#DIV/0!</v>
      </c>
      <c r="L6" s="2">
        <f>C6+G6</f>
        <v>0</v>
      </c>
      <c r="M6" s="2" t="e">
        <f>H6-D6</f>
        <v>#DIV/0!</v>
      </c>
      <c r="N6" s="2" t="e">
        <f>C6/G6</f>
        <v>#DIV/0!</v>
      </c>
    </row>
    <row r="7" spans="1:14">
      <c r="B7" s="5"/>
      <c r="C7" s="2"/>
      <c r="D7" s="2" t="e">
        <f>C7/L7*100</f>
        <v>#DIV/0!</v>
      </c>
      <c r="E7" s="2" t="e">
        <f>C7/$C$13*100</f>
        <v>#DIV/0!</v>
      </c>
      <c r="F7" s="2" t="e">
        <f>C7/$L$13*100</f>
        <v>#DIV/0!</v>
      </c>
      <c r="G7" s="2"/>
      <c r="H7" s="2" t="e">
        <f>G7/L7*100</f>
        <v>#DIV/0!</v>
      </c>
      <c r="I7" s="2" t="e">
        <f>G7/$G$13*100</f>
        <v>#DIV/0!</v>
      </c>
      <c r="J7" s="2" t="e">
        <f>G7/$L$13*100</f>
        <v>#DIV/0!</v>
      </c>
      <c r="K7" s="2" t="e">
        <f>F7+J7</f>
        <v>#DIV/0!</v>
      </c>
      <c r="L7" s="2">
        <f>C7+G7</f>
        <v>0</v>
      </c>
      <c r="M7" s="2" t="e">
        <f>H7-D7</f>
        <v>#DIV/0!</v>
      </c>
      <c r="N7" s="2" t="e">
        <f>C7/G7</f>
        <v>#DIV/0!</v>
      </c>
    </row>
    <row r="8" spans="1:14">
      <c r="B8" s="5"/>
      <c r="C8" s="2"/>
      <c r="D8" s="2" t="e">
        <f>C8/L8*100</f>
        <v>#DIV/0!</v>
      </c>
      <c r="E8" s="2" t="e">
        <f>C8/$C$13*100</f>
        <v>#DIV/0!</v>
      </c>
      <c r="F8" s="2" t="e">
        <f>C8/$L$13*100</f>
        <v>#DIV/0!</v>
      </c>
      <c r="G8" s="2"/>
      <c r="H8" s="2" t="e">
        <f>G8/L8*100</f>
        <v>#DIV/0!</v>
      </c>
      <c r="I8" s="2" t="e">
        <f>G8/$G$13*100</f>
        <v>#DIV/0!</v>
      </c>
      <c r="J8" s="2" t="e">
        <f>G8/$L$13*100</f>
        <v>#DIV/0!</v>
      </c>
      <c r="K8" s="2" t="e">
        <f>F8+J8</f>
        <v>#DIV/0!</v>
      </c>
      <c r="L8" s="2">
        <f>C8+G8</f>
        <v>0</v>
      </c>
      <c r="M8" s="2" t="e">
        <f>H8-D8</f>
        <v>#DIV/0!</v>
      </c>
      <c r="N8" s="2" t="e">
        <f>C8/G8</f>
        <v>#DIV/0!</v>
      </c>
    </row>
    <row r="9" spans="1:14">
      <c r="B9" s="5"/>
      <c r="C9" s="2"/>
      <c r="D9" s="2" t="e">
        <f>C9/L9*100</f>
        <v>#DIV/0!</v>
      </c>
      <c r="E9" s="2" t="e">
        <f>C9/$C$13*100</f>
        <v>#DIV/0!</v>
      </c>
      <c r="F9" s="2" t="e">
        <f>C9/$L$13*100</f>
        <v>#DIV/0!</v>
      </c>
      <c r="G9" s="2"/>
      <c r="H9" s="2" t="e">
        <f>G9/L9*100</f>
        <v>#DIV/0!</v>
      </c>
      <c r="I9" s="2" t="e">
        <f>G9/$G$13*100</f>
        <v>#DIV/0!</v>
      </c>
      <c r="J9" s="2" t="e">
        <f>G9/$L$13*100</f>
        <v>#DIV/0!</v>
      </c>
      <c r="K9" s="2" t="e">
        <f>F9+J9</f>
        <v>#DIV/0!</v>
      </c>
      <c r="L9" s="2">
        <f>C9+G9</f>
        <v>0</v>
      </c>
      <c r="M9" s="2" t="e">
        <f>H9-D9</f>
        <v>#DIV/0!</v>
      </c>
      <c r="N9" s="2" t="e">
        <f>C9/G9</f>
        <v>#DIV/0!</v>
      </c>
    </row>
    <row r="10" spans="1:14">
      <c r="B10" s="5"/>
      <c r="C10" s="2"/>
      <c r="D10" s="2" t="e">
        <f>C10/L10*100</f>
        <v>#DIV/0!</v>
      </c>
      <c r="E10" s="2" t="e">
        <f>C10/$C$13*100</f>
        <v>#DIV/0!</v>
      </c>
      <c r="F10" s="2" t="e">
        <f>C10/$L$13*100</f>
        <v>#DIV/0!</v>
      </c>
      <c r="G10" s="2"/>
      <c r="H10" s="2" t="e">
        <f>G10/L10*100</f>
        <v>#DIV/0!</v>
      </c>
      <c r="I10" s="2" t="e">
        <f>G10/$G$13*100</f>
        <v>#DIV/0!</v>
      </c>
      <c r="J10" s="2" t="e">
        <f>G10/$L$13*100</f>
        <v>#DIV/0!</v>
      </c>
      <c r="K10" s="2" t="e">
        <f>F10+J10</f>
        <v>#DIV/0!</v>
      </c>
      <c r="L10" s="2">
        <f>C10+G10</f>
        <v>0</v>
      </c>
      <c r="M10" s="2" t="e">
        <f>H10-D10</f>
        <v>#DIV/0!</v>
      </c>
      <c r="N10" s="2" t="e">
        <f>C10/G10</f>
        <v>#DIV/0!</v>
      </c>
    </row>
    <row r="11" spans="1:14">
      <c r="B11" s="5"/>
      <c r="C11" s="2"/>
      <c r="D11" s="2" t="e">
        <f>C11/L11*100</f>
        <v>#DIV/0!</v>
      </c>
      <c r="E11" s="2" t="e">
        <f>C11/$C$13*100</f>
        <v>#DIV/0!</v>
      </c>
      <c r="F11" s="2" t="e">
        <f>C11/$L$13*100</f>
        <v>#DIV/0!</v>
      </c>
      <c r="G11" s="2"/>
      <c r="H11" s="2" t="e">
        <f>G11/L11*100</f>
        <v>#DIV/0!</v>
      </c>
      <c r="I11" s="2" t="e">
        <f>G11/$G$13*100</f>
        <v>#DIV/0!</v>
      </c>
      <c r="J11" s="2" t="e">
        <f>G11/$L$13*100</f>
        <v>#DIV/0!</v>
      </c>
      <c r="K11" s="2" t="e">
        <f>F11+J11</f>
        <v>#DIV/0!</v>
      </c>
      <c r="L11" s="2">
        <f>C11+G11</f>
        <v>0</v>
      </c>
      <c r="M11" s="2" t="e">
        <f>H11-D11</f>
        <v>#DIV/0!</v>
      </c>
      <c r="N11" s="2" t="e">
        <f>C11/G11</f>
        <v>#DIV/0!</v>
      </c>
    </row>
    <row r="12" spans="1:14">
      <c r="B12" s="6"/>
      <c r="C12" s="2"/>
      <c r="D12" s="2" t="e">
        <f>C12/L12*100</f>
        <v>#DIV/0!</v>
      </c>
      <c r="E12" s="2" t="e">
        <f>C12/$C$13*100</f>
        <v>#DIV/0!</v>
      </c>
      <c r="F12" s="2" t="e">
        <f>C12/$L$13*100</f>
        <v>#DIV/0!</v>
      </c>
      <c r="G12" s="2"/>
      <c r="H12" s="2" t="e">
        <f>G12/L12*100</f>
        <v>#DIV/0!</v>
      </c>
      <c r="I12" s="2" t="e">
        <f>G12/$G$13*100</f>
        <v>#DIV/0!</v>
      </c>
      <c r="J12" s="2" t="e">
        <f>G12/$L$13*100</f>
        <v>#DIV/0!</v>
      </c>
      <c r="K12" s="2" t="e">
        <f>F12+J12</f>
        <v>#DIV/0!</v>
      </c>
      <c r="L12" s="2">
        <f>C12+G12</f>
        <v>0</v>
      </c>
      <c r="M12" s="2" t="e">
        <f>H12-D12</f>
        <v>#DIV/0!</v>
      </c>
      <c r="N12" s="2" t="e">
        <f>C12/G12</f>
        <v>#DIV/0!</v>
      </c>
    </row>
    <row r="13" spans="1:14">
      <c r="C13" s="2">
        <f>SUM(C3:C12)</f>
        <v>0</v>
      </c>
      <c r="D13" s="2"/>
      <c r="E13" s="2" t="e">
        <f>SUM(E3:E12)</f>
        <v>#DIV/0!</v>
      </c>
      <c r="F13" s="2" t="e">
        <f>SUM(F3:F12)</f>
        <v>#DIV/0!</v>
      </c>
      <c r="G13" s="2">
        <f>SUM(G3:G12)</f>
        <v>0</v>
      </c>
      <c r="H13" s="2"/>
      <c r="I13" s="2" t="e">
        <f>SUM(I3:I12)</f>
        <v>#DIV/0!</v>
      </c>
      <c r="J13" s="2" t="e">
        <f>SUM(J3:J12)</f>
        <v>#DIV/0!</v>
      </c>
      <c r="K13" s="2" t="e">
        <f>SUM(K3:K12)</f>
        <v>#DIV/0!</v>
      </c>
      <c r="L13" s="2">
        <f>SUM(L3:L12)</f>
        <v>0</v>
      </c>
      <c r="M13" s="2"/>
      <c r="N13" s="2"/>
    </row>
    <row r="15" spans="1:14">
      <c r="D15" s="14" t="s">
        <v>1</v>
      </c>
      <c r="E15" s="14" t="s">
        <v>3</v>
      </c>
    </row>
    <row r="16" spans="1:14">
      <c r="C16" s="9"/>
      <c r="D16" s="2"/>
      <c r="E16" s="2"/>
    </row>
    <row r="17" spans="1:14">
      <c r="C17" s="9"/>
      <c r="D17" s="2"/>
      <c r="E17" s="2"/>
    </row>
    <row r="18" spans="1:14">
      <c r="C18" s="9"/>
      <c r="D18" s="2"/>
      <c r="E18" s="2"/>
    </row>
    <row r="19" spans="1:14">
      <c r="C19" s="9"/>
      <c r="D19" s="2"/>
      <c r="E19" s="2"/>
    </row>
    <row r="20" spans="1:14">
      <c r="C20" s="9"/>
      <c r="D20" s="2"/>
      <c r="E20" s="2"/>
    </row>
    <row r="21" spans="1:14">
      <c r="C21" s="9"/>
      <c r="D21" s="2"/>
      <c r="E21" s="2"/>
    </row>
    <row r="22" spans="1:14">
      <c r="C22" s="9"/>
      <c r="D22" s="2"/>
      <c r="E22" s="2"/>
    </row>
    <row r="23" spans="1:14">
      <c r="C23" s="9"/>
      <c r="D23" s="2"/>
      <c r="E23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TOTAL PLANTILLA</vt:lpstr>
      <vt:lpstr>EDAD</vt:lpstr>
      <vt:lpstr>ANTIGÜEDAD</vt:lpstr>
      <vt:lpstr>NIVEL DE ESTUDIOS</vt:lpstr>
      <vt:lpstr>MODALIDAD CONTRATO</vt:lpstr>
      <vt:lpstr>PORCENTAJE DE JORNADA</vt:lpstr>
      <vt:lpstr>PUESTOS PROFESIONALES</vt:lpstr>
      <vt:lpstr>PUESTOS DIRECTIVOS</vt:lpstr>
      <vt:lpstr>ÁREAS FUNCIONALES</vt:lpstr>
      <vt:lpstr>TURNOS DE TRABAJO</vt:lpstr>
      <vt:lpstr>HIJOS</vt:lpstr>
      <vt:lpstr>BAJAS</vt:lpstr>
      <vt:lpstr>EXCEDENCIAS</vt:lpstr>
      <vt:lpstr>PERMISOS RETRIBUIDOS</vt:lpstr>
      <vt:lpstr>FORMACIÓN</vt:lpstr>
      <vt:lpstr>GRUPO PROFESIONAL</vt:lpstr>
      <vt:lpstr>RETRIBUCIONES</vt:lpstr>
      <vt:lpstr>EDAD NNCC</vt:lpstr>
      <vt:lpstr>MODALIDAD CONTRATO NNCC</vt:lpstr>
      <vt:lpstr>PORCENTAJE JORNADA NNCC</vt:lpstr>
      <vt:lpstr>PUESTOS PROFESIONALES NNCC</vt:lpstr>
      <vt:lpstr>ÁREAS FUNCIONALES NNCC</vt:lpstr>
      <vt:lpstr>EDAD PERSONAL SUBROGADO</vt:lpstr>
      <vt:lpstr>MODALIDAD CONTRATO PERSONAL SUB</vt:lpstr>
      <vt:lpstr>PORCENTAJE JORNADA PERSONAL SUB</vt:lpstr>
      <vt:lpstr>PUESTOS DIRECTIVOS PERSONAL SUB</vt:lpstr>
      <vt:lpstr>PUESTOS PROF. PERSONAL SUBROGAD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Fernández</dc:creator>
  <cp:lastModifiedBy>Practicas</cp:lastModifiedBy>
  <dcterms:created xsi:type="dcterms:W3CDTF">2024-06-25T17:12:17+02:00</dcterms:created>
  <dcterms:modified xsi:type="dcterms:W3CDTF">2026-03-26T14:41:07+01:00</dcterms:modified>
  <dc:title/>
  <dc:description/>
  <dc:subject/>
  <cp:keywords/>
  <cp:category/>
</cp:coreProperties>
</file>