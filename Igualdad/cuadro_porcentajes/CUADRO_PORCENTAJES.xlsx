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gualdad\cuadro_porcentajes\"/>
    </mc:Choice>
  </mc:AlternateContent>
  <xr:revisionPtr revIDLastSave="0" documentId="13_ncr:1_{62280010-6084-403F-9725-97D94C2AD094}" xr6:coauthVersionLast="47" xr6:coauthVersionMax="47" xr10:uidLastSave="{00000000-0000-0000-0000-000000000000}"/>
  <bookViews>
    <workbookView xWindow="14295" yWindow="0" windowWidth="14610" windowHeight="15585" activeTab="17" xr2:uid="{00000000-000D-0000-FFFF-FFFF00000000}"/>
  </bookViews>
  <sheets>
    <sheet name="TOTAL PLANTILLA" sheetId="27" r:id="rId1"/>
    <sheet name="EDAD" sheetId="1" r:id="rId2"/>
    <sheet name="ANTIGÜEDAD" sheetId="2" r:id="rId3"/>
    <sheet name="NIVEL DE ESTUDIOS" sheetId="3" r:id="rId4"/>
    <sheet name="MODALIDAD CONTRATO" sheetId="4" r:id="rId5"/>
    <sheet name="PORCENTAJE DE JORNADA" sheetId="5" r:id="rId6"/>
    <sheet name="PUESTOS PROFESIONALES" sheetId="6" r:id="rId7"/>
    <sheet name="PUESTOS DIRECTIVOS" sheetId="7" r:id="rId8"/>
    <sheet name="ÁREAS FUNCIONALES" sheetId="8" r:id="rId9"/>
    <sheet name="TURNOS DE TRABAJO" sheetId="9" r:id="rId10"/>
    <sheet name="HIJOS" sheetId="10" r:id="rId11"/>
    <sheet name="BAJAS" sheetId="11" r:id="rId12"/>
    <sheet name="EXCEDENCIAS" sheetId="12" r:id="rId13"/>
    <sheet name="PERMISOS RETRIBUIDOS" sheetId="13" r:id="rId14"/>
    <sheet name="FORMACIÓN" sheetId="14" r:id="rId15"/>
    <sheet name="GRUPO PROFESIONAL" sheetId="15" r:id="rId16"/>
    <sheet name="RETRIBUCIONES" sheetId="16" r:id="rId17"/>
    <sheet name="EDAD NNCC" sheetId="17" r:id="rId18"/>
    <sheet name="MODALIDAD CONTRATO NNCC" sheetId="18" r:id="rId19"/>
    <sheet name="PORCENTAJE JORNADA NNCC" sheetId="19" r:id="rId20"/>
    <sheet name="PUESTOS PROFESIONALES NNCC" sheetId="20" r:id="rId21"/>
    <sheet name="ÁREAS FUNCIONALES NNCC" sheetId="21" r:id="rId22"/>
    <sheet name="EDAD PERSONAL SUBROGADO" sheetId="22" r:id="rId23"/>
    <sheet name="MODALIDAD CONTRATO PERSONAL SUB" sheetId="23" r:id="rId24"/>
    <sheet name="PORCENTAJE JORNADA PERSONAL SUB" sheetId="24" r:id="rId25"/>
    <sheet name="PUESTOS DIRECTIVOS PERSONAL SUB" sheetId="25" r:id="rId26"/>
    <sheet name="PUESTOS PROF. PERSONAL SUBROGAD" sheetId="26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D26" i="1"/>
  <c r="N12" i="1" l="1"/>
  <c r="L12" i="1"/>
  <c r="H12" i="1" s="1"/>
  <c r="J3" i="3"/>
  <c r="I3" i="3"/>
  <c r="F3" i="3"/>
  <c r="E3" i="3"/>
  <c r="D12" i="1" l="1"/>
  <c r="M12" i="1" s="1"/>
  <c r="J3" i="21"/>
  <c r="I3" i="21"/>
  <c r="F3" i="21"/>
  <c r="E3" i="21"/>
  <c r="J3" i="20" l="1"/>
  <c r="I3" i="20"/>
  <c r="F3" i="20"/>
  <c r="E3" i="20"/>
  <c r="J3" i="8" l="1"/>
  <c r="I3" i="8"/>
  <c r="F3" i="8" l="1"/>
  <c r="K3" i="8" s="1"/>
  <c r="E3" i="8"/>
  <c r="J3" i="7" l="1"/>
  <c r="I3" i="7"/>
  <c r="F3" i="7"/>
  <c r="E3" i="7"/>
  <c r="L3" i="7" l="1"/>
  <c r="D3" i="7" s="1"/>
  <c r="N3" i="7"/>
  <c r="L3" i="6"/>
  <c r="G3" i="27"/>
  <c r="F3" i="27" s="1"/>
  <c r="I3" i="27"/>
  <c r="D3" i="27" l="1"/>
  <c r="H3" i="27" s="1"/>
  <c r="H3" i="7"/>
  <c r="M3" i="7" s="1"/>
  <c r="L3" i="13"/>
  <c r="D3" i="13" s="1"/>
  <c r="H3" i="13"/>
  <c r="J3" i="6"/>
  <c r="I3" i="6"/>
  <c r="F3" i="6"/>
  <c r="E3" i="6"/>
  <c r="N3" i="1" l="1"/>
  <c r="G13" i="26"/>
  <c r="I3" i="26" s="1"/>
  <c r="I13" i="26" s="1"/>
  <c r="C13" i="26"/>
  <c r="N12" i="26"/>
  <c r="L12" i="26"/>
  <c r="I12" i="26"/>
  <c r="N11" i="26"/>
  <c r="L11" i="26"/>
  <c r="N10" i="26"/>
  <c r="L10" i="26"/>
  <c r="I10" i="26"/>
  <c r="N9" i="26"/>
  <c r="L9" i="26"/>
  <c r="I9" i="26"/>
  <c r="N8" i="26"/>
  <c r="L8" i="26"/>
  <c r="I8" i="26"/>
  <c r="N7" i="26"/>
  <c r="L7" i="26"/>
  <c r="N6" i="26"/>
  <c r="L6" i="26"/>
  <c r="I6" i="26"/>
  <c r="N5" i="26"/>
  <c r="L5" i="26"/>
  <c r="I5" i="26"/>
  <c r="N4" i="26"/>
  <c r="L4" i="26"/>
  <c r="I4" i="26"/>
  <c r="N3" i="26"/>
  <c r="L3" i="26"/>
  <c r="D17" i="25"/>
  <c r="E17" i="25"/>
  <c r="D18" i="25"/>
  <c r="E18" i="25"/>
  <c r="D19" i="25"/>
  <c r="E19" i="25"/>
  <c r="D20" i="25"/>
  <c r="E20" i="25"/>
  <c r="D21" i="25"/>
  <c r="E21" i="25"/>
  <c r="D22" i="25"/>
  <c r="E22" i="25"/>
  <c r="D23" i="25"/>
  <c r="E23" i="25"/>
  <c r="D24" i="25"/>
  <c r="E24" i="25"/>
  <c r="D25" i="25"/>
  <c r="E25" i="25"/>
  <c r="E16" i="25"/>
  <c r="D16" i="25"/>
  <c r="G13" i="25"/>
  <c r="C13" i="25"/>
  <c r="N12" i="25"/>
  <c r="L12" i="25"/>
  <c r="N11" i="25"/>
  <c r="L11" i="25"/>
  <c r="I11" i="25"/>
  <c r="N10" i="25"/>
  <c r="L10" i="25"/>
  <c r="I10" i="25"/>
  <c r="N9" i="25"/>
  <c r="L9" i="25"/>
  <c r="I9" i="25"/>
  <c r="N8" i="25"/>
  <c r="L8" i="25"/>
  <c r="N7" i="25"/>
  <c r="L7" i="25"/>
  <c r="I7" i="25"/>
  <c r="N6" i="25"/>
  <c r="L6" i="25"/>
  <c r="I6" i="25"/>
  <c r="N5" i="25"/>
  <c r="L5" i="25"/>
  <c r="I5" i="25"/>
  <c r="N4" i="25"/>
  <c r="L4" i="25"/>
  <c r="N3" i="25"/>
  <c r="L3" i="25"/>
  <c r="E11" i="24"/>
  <c r="F11" i="24"/>
  <c r="E12" i="24"/>
  <c r="F12" i="24"/>
  <c r="E13" i="24"/>
  <c r="F13" i="24"/>
  <c r="F10" i="24"/>
  <c r="E10" i="24"/>
  <c r="G7" i="24"/>
  <c r="I3" i="24" s="1"/>
  <c r="I7" i="24" s="1"/>
  <c r="C7" i="24"/>
  <c r="E3" i="24" s="1"/>
  <c r="E7" i="24" s="1"/>
  <c r="N6" i="24"/>
  <c r="L6" i="24"/>
  <c r="I6" i="24"/>
  <c r="N5" i="24"/>
  <c r="L5" i="24"/>
  <c r="E5" i="24"/>
  <c r="N4" i="24"/>
  <c r="L4" i="24"/>
  <c r="I4" i="24"/>
  <c r="N3" i="24"/>
  <c r="L3" i="24"/>
  <c r="D12" i="23"/>
  <c r="E12" i="23"/>
  <c r="D13" i="23"/>
  <c r="E13" i="23"/>
  <c r="D14" i="23"/>
  <c r="E14" i="23"/>
  <c r="D15" i="23"/>
  <c r="E15" i="23"/>
  <c r="E11" i="23"/>
  <c r="D11" i="23"/>
  <c r="G8" i="23"/>
  <c r="C8" i="23"/>
  <c r="N7" i="23"/>
  <c r="L7" i="23"/>
  <c r="N6" i="23"/>
  <c r="L6" i="23"/>
  <c r="I6" i="23"/>
  <c r="N5" i="23"/>
  <c r="L5" i="23"/>
  <c r="N4" i="23"/>
  <c r="L4" i="23"/>
  <c r="I4" i="23"/>
  <c r="N3" i="23"/>
  <c r="L3" i="23"/>
  <c r="D19" i="22"/>
  <c r="E19" i="22"/>
  <c r="D20" i="22"/>
  <c r="E20" i="22"/>
  <c r="D21" i="22"/>
  <c r="E21" i="22"/>
  <c r="D22" i="22"/>
  <c r="E22" i="22"/>
  <c r="D23" i="22"/>
  <c r="E23" i="22"/>
  <c r="D24" i="22"/>
  <c r="E24" i="22"/>
  <c r="D25" i="22"/>
  <c r="E25" i="22"/>
  <c r="D26" i="22"/>
  <c r="E26" i="22"/>
  <c r="D27" i="22"/>
  <c r="E27" i="22"/>
  <c r="D28" i="22"/>
  <c r="E28" i="22"/>
  <c r="D29" i="22"/>
  <c r="E29" i="22"/>
  <c r="E18" i="22"/>
  <c r="D18" i="22"/>
  <c r="G15" i="22"/>
  <c r="I10" i="22" s="1"/>
  <c r="C15" i="22"/>
  <c r="N14" i="22"/>
  <c r="L14" i="22"/>
  <c r="N13" i="22"/>
  <c r="L13" i="22"/>
  <c r="N12" i="22"/>
  <c r="L12" i="22"/>
  <c r="I12" i="22"/>
  <c r="N11" i="22"/>
  <c r="L11" i="22"/>
  <c r="I11" i="22"/>
  <c r="N10" i="22"/>
  <c r="L10" i="22"/>
  <c r="N9" i="22"/>
  <c r="L9" i="22"/>
  <c r="N8" i="22"/>
  <c r="L8" i="22"/>
  <c r="I8" i="22"/>
  <c r="N7" i="22"/>
  <c r="L7" i="22"/>
  <c r="I7" i="22"/>
  <c r="N6" i="22"/>
  <c r="L6" i="22"/>
  <c r="N5" i="22"/>
  <c r="L5" i="22"/>
  <c r="N4" i="22"/>
  <c r="L4" i="22"/>
  <c r="I4" i="22"/>
  <c r="N3" i="22"/>
  <c r="L3" i="22"/>
  <c r="N3" i="21"/>
  <c r="L3" i="21"/>
  <c r="N3" i="20"/>
  <c r="L3" i="20"/>
  <c r="D11" i="19"/>
  <c r="E11" i="19"/>
  <c r="D12" i="19"/>
  <c r="E12" i="19"/>
  <c r="D13" i="19"/>
  <c r="E13" i="19"/>
  <c r="E10" i="19"/>
  <c r="D10" i="19"/>
  <c r="C7" i="19"/>
  <c r="E3" i="19" s="1"/>
  <c r="G7" i="19"/>
  <c r="I3" i="19" s="1"/>
  <c r="N6" i="19"/>
  <c r="L6" i="19"/>
  <c r="I6" i="19"/>
  <c r="N5" i="19"/>
  <c r="L5" i="19"/>
  <c r="I5" i="19"/>
  <c r="N4" i="19"/>
  <c r="L4" i="19"/>
  <c r="I4" i="19"/>
  <c r="N3" i="19"/>
  <c r="L3" i="19"/>
  <c r="I7" i="19"/>
  <c r="D13" i="18"/>
  <c r="E13" i="18"/>
  <c r="D14" i="18"/>
  <c r="E14" i="18"/>
  <c r="D15" i="18"/>
  <c r="E15" i="18"/>
  <c r="D16" i="18"/>
  <c r="E16" i="18"/>
  <c r="E12" i="18"/>
  <c r="D12" i="18"/>
  <c r="G8" i="18"/>
  <c r="I6" i="18" s="1"/>
  <c r="C8" i="18"/>
  <c r="N7" i="18"/>
  <c r="L7" i="18"/>
  <c r="N6" i="18"/>
  <c r="L6" i="18"/>
  <c r="N5" i="18"/>
  <c r="L5" i="18"/>
  <c r="N4" i="18"/>
  <c r="L4" i="18"/>
  <c r="N3" i="18"/>
  <c r="L3" i="18"/>
  <c r="D13" i="16"/>
  <c r="E13" i="16"/>
  <c r="D14" i="16"/>
  <c r="E14" i="16"/>
  <c r="D15" i="16"/>
  <c r="E15" i="16"/>
  <c r="D16" i="16"/>
  <c r="E16" i="16"/>
  <c r="E12" i="16"/>
  <c r="D12" i="16"/>
  <c r="D17" i="17"/>
  <c r="E17" i="17"/>
  <c r="D18" i="17"/>
  <c r="E18" i="17"/>
  <c r="D19" i="17"/>
  <c r="E19" i="17"/>
  <c r="D20" i="17"/>
  <c r="E20" i="17"/>
  <c r="D21" i="17"/>
  <c r="E21" i="17"/>
  <c r="D22" i="17"/>
  <c r="E22" i="17"/>
  <c r="D23" i="17"/>
  <c r="E23" i="17"/>
  <c r="D24" i="17"/>
  <c r="E24" i="17"/>
  <c r="D25" i="17"/>
  <c r="E25" i="17"/>
  <c r="E16" i="17"/>
  <c r="D16" i="17"/>
  <c r="G13" i="17"/>
  <c r="I3" i="17" s="1"/>
  <c r="I13" i="17" s="1"/>
  <c r="C13" i="17"/>
  <c r="N12" i="17"/>
  <c r="L12" i="17"/>
  <c r="N11" i="17"/>
  <c r="L11" i="17"/>
  <c r="N10" i="17"/>
  <c r="L10" i="17"/>
  <c r="N9" i="17"/>
  <c r="L9" i="17"/>
  <c r="N8" i="17"/>
  <c r="L8" i="17"/>
  <c r="N7" i="17"/>
  <c r="L7" i="17"/>
  <c r="N6" i="17"/>
  <c r="L6" i="17"/>
  <c r="N5" i="17"/>
  <c r="L5" i="17"/>
  <c r="N4" i="17"/>
  <c r="L4" i="17"/>
  <c r="N3" i="17"/>
  <c r="L3" i="17"/>
  <c r="G9" i="16"/>
  <c r="I4" i="16" s="1"/>
  <c r="C9" i="16"/>
  <c r="N8" i="16"/>
  <c r="L8" i="16"/>
  <c r="I8" i="16"/>
  <c r="N7" i="16"/>
  <c r="L7" i="16"/>
  <c r="N6" i="16"/>
  <c r="L6" i="16"/>
  <c r="I6" i="16"/>
  <c r="N5" i="16"/>
  <c r="L5" i="16"/>
  <c r="I5" i="16"/>
  <c r="N4" i="16"/>
  <c r="L4" i="16"/>
  <c r="I9" i="16"/>
  <c r="D18" i="15"/>
  <c r="E18" i="15"/>
  <c r="D19" i="15"/>
  <c r="E19" i="15"/>
  <c r="D20" i="15"/>
  <c r="E20" i="15"/>
  <c r="D21" i="15"/>
  <c r="E21" i="15"/>
  <c r="D22" i="15"/>
  <c r="E22" i="15"/>
  <c r="D23" i="15"/>
  <c r="E23" i="15"/>
  <c r="D24" i="15"/>
  <c r="E24" i="15"/>
  <c r="D25" i="15"/>
  <c r="E25" i="15"/>
  <c r="D26" i="15"/>
  <c r="E26" i="15"/>
  <c r="D27" i="15"/>
  <c r="E27" i="15"/>
  <c r="E17" i="15"/>
  <c r="D17" i="15"/>
  <c r="L4" i="15"/>
  <c r="N4" i="15"/>
  <c r="L5" i="15"/>
  <c r="N5" i="15"/>
  <c r="L6" i="15"/>
  <c r="N6" i="15"/>
  <c r="L7" i="15"/>
  <c r="N7" i="15"/>
  <c r="L8" i="15"/>
  <c r="N8" i="15"/>
  <c r="L9" i="15"/>
  <c r="N9" i="15"/>
  <c r="L10" i="15"/>
  <c r="N10" i="15"/>
  <c r="L11" i="15"/>
  <c r="N11" i="15"/>
  <c r="L12" i="15"/>
  <c r="N12" i="15"/>
  <c r="L13" i="15"/>
  <c r="N13" i="15"/>
  <c r="G14" i="15"/>
  <c r="C14" i="15"/>
  <c r="N3" i="15"/>
  <c r="L3" i="15"/>
  <c r="E7" i="14"/>
  <c r="D7" i="14"/>
  <c r="G4" i="14"/>
  <c r="I3" i="14" s="1"/>
  <c r="C4" i="14"/>
  <c r="E3" i="14" s="1"/>
  <c r="N3" i="14"/>
  <c r="L3" i="14"/>
  <c r="I4" i="14"/>
  <c r="E4" i="14"/>
  <c r="D9" i="13"/>
  <c r="E9" i="13"/>
  <c r="E8" i="13"/>
  <c r="D8" i="13"/>
  <c r="G5" i="13"/>
  <c r="C5" i="13"/>
  <c r="N4" i="13"/>
  <c r="L4" i="13"/>
  <c r="N3" i="13"/>
  <c r="D10" i="12"/>
  <c r="E10" i="12"/>
  <c r="D11" i="12"/>
  <c r="E11" i="12"/>
  <c r="E9" i="12"/>
  <c r="D9" i="12"/>
  <c r="G6" i="12"/>
  <c r="C6" i="12"/>
  <c r="N5" i="12"/>
  <c r="L5" i="12"/>
  <c r="N4" i="12"/>
  <c r="L4" i="12"/>
  <c r="N3" i="12"/>
  <c r="L3" i="12"/>
  <c r="D33" i="11"/>
  <c r="E33" i="11"/>
  <c r="D34" i="11"/>
  <c r="E34" i="11"/>
  <c r="D35" i="11"/>
  <c r="E35" i="11"/>
  <c r="D36" i="11"/>
  <c r="E36" i="11"/>
  <c r="D37" i="11"/>
  <c r="E37" i="11"/>
  <c r="E32" i="11"/>
  <c r="D32" i="11"/>
  <c r="L22" i="11"/>
  <c r="N22" i="11"/>
  <c r="L23" i="11"/>
  <c r="N23" i="11"/>
  <c r="L24" i="11"/>
  <c r="N24" i="11"/>
  <c r="L25" i="11"/>
  <c r="N25" i="11"/>
  <c r="L26" i="11"/>
  <c r="N26" i="11"/>
  <c r="G27" i="11"/>
  <c r="C27" i="11"/>
  <c r="N21" i="11"/>
  <c r="L21" i="11"/>
  <c r="D11" i="11"/>
  <c r="E11" i="11"/>
  <c r="D12" i="11"/>
  <c r="E12" i="11"/>
  <c r="D13" i="11"/>
  <c r="E13" i="11"/>
  <c r="E10" i="11"/>
  <c r="D10" i="11"/>
  <c r="G7" i="11"/>
  <c r="I3" i="11" s="1"/>
  <c r="C7" i="11"/>
  <c r="N6" i="11"/>
  <c r="L6" i="11"/>
  <c r="D6" i="11" s="1"/>
  <c r="N5" i="11"/>
  <c r="L5" i="11"/>
  <c r="D5" i="11" s="1"/>
  <c r="N4" i="11"/>
  <c r="L4" i="11"/>
  <c r="D4" i="11" s="1"/>
  <c r="N3" i="11"/>
  <c r="L3" i="11"/>
  <c r="D3" i="11" s="1"/>
  <c r="E14" i="10"/>
  <c r="D14" i="10"/>
  <c r="E13" i="10"/>
  <c r="D13" i="10"/>
  <c r="E12" i="10"/>
  <c r="D12" i="10"/>
  <c r="E11" i="10"/>
  <c r="D11" i="10"/>
  <c r="G7" i="10"/>
  <c r="C7" i="10"/>
  <c r="N6" i="10"/>
  <c r="L6" i="10"/>
  <c r="N5" i="10"/>
  <c r="L5" i="10"/>
  <c r="N4" i="10"/>
  <c r="L4" i="10"/>
  <c r="N3" i="10"/>
  <c r="L3" i="10"/>
  <c r="D13" i="9"/>
  <c r="E13" i="9"/>
  <c r="D14" i="9"/>
  <c r="E14" i="9"/>
  <c r="D15" i="9"/>
  <c r="E15" i="9"/>
  <c r="E12" i="9"/>
  <c r="D12" i="9"/>
  <c r="C8" i="9"/>
  <c r="G8" i="9"/>
  <c r="I5" i="9"/>
  <c r="I7" i="9"/>
  <c r="I6" i="17" l="1"/>
  <c r="I10" i="17"/>
  <c r="L7" i="10"/>
  <c r="D3" i="10"/>
  <c r="H3" i="10"/>
  <c r="E6" i="10"/>
  <c r="E4" i="10"/>
  <c r="E3" i="10"/>
  <c r="E7" i="10" s="1"/>
  <c r="E5" i="10"/>
  <c r="I24" i="11"/>
  <c r="I25" i="11"/>
  <c r="I21" i="11"/>
  <c r="I27" i="11" s="1"/>
  <c r="I23" i="11"/>
  <c r="I26" i="11"/>
  <c r="I22" i="11"/>
  <c r="H26" i="11"/>
  <c r="D26" i="11"/>
  <c r="H4" i="12"/>
  <c r="D4" i="12"/>
  <c r="E4" i="12"/>
  <c r="E5" i="12"/>
  <c r="E3" i="12"/>
  <c r="E6" i="12" s="1"/>
  <c r="I3" i="13"/>
  <c r="I5" i="13" s="1"/>
  <c r="I4" i="13"/>
  <c r="H11" i="15"/>
  <c r="D11" i="15"/>
  <c r="D8" i="15"/>
  <c r="H8" i="15"/>
  <c r="H6" i="16"/>
  <c r="D6" i="16"/>
  <c r="E5" i="16"/>
  <c r="E4" i="16"/>
  <c r="I5" i="17"/>
  <c r="D7" i="18"/>
  <c r="H7" i="18"/>
  <c r="H6" i="19"/>
  <c r="D6" i="19"/>
  <c r="D8" i="22"/>
  <c r="H8" i="22"/>
  <c r="D12" i="22"/>
  <c r="H12" i="22"/>
  <c r="D3" i="24"/>
  <c r="H3" i="24"/>
  <c r="H5" i="24"/>
  <c r="D5" i="24"/>
  <c r="L13" i="25"/>
  <c r="H3" i="25"/>
  <c r="D3" i="25"/>
  <c r="H7" i="25"/>
  <c r="D7" i="25"/>
  <c r="H11" i="25"/>
  <c r="D11" i="25"/>
  <c r="E12" i="25"/>
  <c r="E3" i="25"/>
  <c r="E13" i="25" s="1"/>
  <c r="H6" i="26"/>
  <c r="D6" i="26"/>
  <c r="D10" i="26"/>
  <c r="H10" i="26"/>
  <c r="D21" i="11"/>
  <c r="H21" i="11"/>
  <c r="L27" i="11"/>
  <c r="I4" i="12"/>
  <c r="I5" i="12"/>
  <c r="I3" i="12"/>
  <c r="I6" i="12" s="1"/>
  <c r="H4" i="13"/>
  <c r="D4" i="13"/>
  <c r="M4" i="13" s="1"/>
  <c r="H3" i="15"/>
  <c r="D3" i="15"/>
  <c r="D12" i="15"/>
  <c r="H12" i="15"/>
  <c r="D4" i="15"/>
  <c r="H4" i="15"/>
  <c r="H5" i="16"/>
  <c r="D5" i="16"/>
  <c r="I4" i="17"/>
  <c r="D5" i="17"/>
  <c r="H5" i="17"/>
  <c r="I8" i="17"/>
  <c r="D9" i="17"/>
  <c r="H9" i="17"/>
  <c r="I12" i="17"/>
  <c r="H4" i="18"/>
  <c r="D4" i="18"/>
  <c r="D5" i="19"/>
  <c r="H5" i="19"/>
  <c r="L15" i="22"/>
  <c r="H3" i="22"/>
  <c r="D3" i="22"/>
  <c r="I6" i="22"/>
  <c r="H7" i="22"/>
  <c r="D7" i="22"/>
  <c r="H11" i="22"/>
  <c r="D11" i="22"/>
  <c r="H14" i="22"/>
  <c r="M14" i="22" s="1"/>
  <c r="D14" i="22"/>
  <c r="L8" i="23"/>
  <c r="H3" i="23"/>
  <c r="D3" i="23"/>
  <c r="D6" i="23"/>
  <c r="H6" i="23"/>
  <c r="E7" i="23"/>
  <c r="E3" i="23"/>
  <c r="D4" i="24"/>
  <c r="H4" i="24"/>
  <c r="H6" i="24"/>
  <c r="D6" i="24"/>
  <c r="H6" i="25"/>
  <c r="D6" i="25"/>
  <c r="H10" i="25"/>
  <c r="D10" i="25"/>
  <c r="I12" i="25"/>
  <c r="I3" i="25"/>
  <c r="I13" i="25" s="1"/>
  <c r="H5" i="26"/>
  <c r="D5" i="26"/>
  <c r="D9" i="26"/>
  <c r="H9" i="26"/>
  <c r="E6" i="9"/>
  <c r="E4" i="9"/>
  <c r="D5" i="10"/>
  <c r="H5" i="10"/>
  <c r="E4" i="11"/>
  <c r="E5" i="11"/>
  <c r="E3" i="11"/>
  <c r="E7" i="11" s="1"/>
  <c r="E6" i="11"/>
  <c r="E24" i="11"/>
  <c r="E21" i="11"/>
  <c r="E27" i="11" s="1"/>
  <c r="E25" i="11"/>
  <c r="E23" i="11"/>
  <c r="E22" i="11"/>
  <c r="E26" i="11"/>
  <c r="H25" i="11"/>
  <c r="D25" i="11"/>
  <c r="E4" i="13"/>
  <c r="E3" i="13"/>
  <c r="E5" i="13" s="1"/>
  <c r="E7" i="15"/>
  <c r="E11" i="15"/>
  <c r="E4" i="15"/>
  <c r="E8" i="15"/>
  <c r="E12" i="15"/>
  <c r="E10" i="15"/>
  <c r="E3" i="15"/>
  <c r="E14" i="15" s="1"/>
  <c r="E9" i="15"/>
  <c r="E5" i="15"/>
  <c r="E13" i="15"/>
  <c r="E6" i="15"/>
  <c r="H13" i="15"/>
  <c r="D13" i="15"/>
  <c r="H5" i="15"/>
  <c r="D5" i="15"/>
  <c r="H7" i="16"/>
  <c r="D7" i="16"/>
  <c r="L13" i="17"/>
  <c r="F9" i="17" s="1"/>
  <c r="H3" i="17"/>
  <c r="D3" i="17"/>
  <c r="H7" i="17"/>
  <c r="D7" i="17"/>
  <c r="H11" i="17"/>
  <c r="D11" i="17"/>
  <c r="H5" i="18"/>
  <c r="D5" i="18"/>
  <c r="I7" i="18"/>
  <c r="I3" i="18"/>
  <c r="I8" i="18" s="1"/>
  <c r="H3" i="19"/>
  <c r="D3" i="19"/>
  <c r="D5" i="22"/>
  <c r="H5" i="22"/>
  <c r="D9" i="22"/>
  <c r="H9" i="22"/>
  <c r="D13" i="22"/>
  <c r="H13" i="22"/>
  <c r="E14" i="22"/>
  <c r="E3" i="22"/>
  <c r="H7" i="23"/>
  <c r="D7" i="23"/>
  <c r="H4" i="25"/>
  <c r="D4" i="25"/>
  <c r="D8" i="25"/>
  <c r="H8" i="25"/>
  <c r="L13" i="26"/>
  <c r="D3" i="26"/>
  <c r="H3" i="26"/>
  <c r="H7" i="26"/>
  <c r="D7" i="26"/>
  <c r="M7" i="26" s="1"/>
  <c r="H11" i="26"/>
  <c r="D11" i="26"/>
  <c r="H4" i="10"/>
  <c r="D4" i="10"/>
  <c r="H22" i="11"/>
  <c r="M22" i="11" s="1"/>
  <c r="D22" i="11"/>
  <c r="I4" i="15"/>
  <c r="I8" i="15"/>
  <c r="I12" i="15"/>
  <c r="I5" i="15"/>
  <c r="I9" i="15"/>
  <c r="I13" i="15"/>
  <c r="I11" i="15"/>
  <c r="I10" i="15"/>
  <c r="I6" i="15"/>
  <c r="I3" i="15"/>
  <c r="I14" i="15" s="1"/>
  <c r="I7" i="15"/>
  <c r="H6" i="15"/>
  <c r="D6" i="15"/>
  <c r="H6" i="17"/>
  <c r="D6" i="17"/>
  <c r="I9" i="17"/>
  <c r="H10" i="17"/>
  <c r="D10" i="17"/>
  <c r="M10" i="17" s="1"/>
  <c r="I4" i="18"/>
  <c r="D4" i="22"/>
  <c r="H4" i="22"/>
  <c r="I14" i="22"/>
  <c r="I3" i="22"/>
  <c r="I15" i="22" s="1"/>
  <c r="H4" i="23"/>
  <c r="D4" i="23"/>
  <c r="E12" i="26"/>
  <c r="E3" i="26"/>
  <c r="I3" i="10"/>
  <c r="I7" i="10" s="1"/>
  <c r="I5" i="10"/>
  <c r="I4" i="10"/>
  <c r="I6" i="10"/>
  <c r="D23" i="11"/>
  <c r="H23" i="11"/>
  <c r="I6" i="9"/>
  <c r="I4" i="9"/>
  <c r="D6" i="10"/>
  <c r="M6" i="10" s="1"/>
  <c r="H6" i="10"/>
  <c r="D24" i="11"/>
  <c r="H24" i="11"/>
  <c r="M24" i="11" s="1"/>
  <c r="D3" i="12"/>
  <c r="H3" i="12"/>
  <c r="H5" i="12"/>
  <c r="D5" i="12"/>
  <c r="H10" i="15"/>
  <c r="M10" i="15" s="1"/>
  <c r="D10" i="15"/>
  <c r="H9" i="15"/>
  <c r="D9" i="15"/>
  <c r="D7" i="15"/>
  <c r="H7" i="15"/>
  <c r="H4" i="16"/>
  <c r="D4" i="16"/>
  <c r="I7" i="16"/>
  <c r="H8" i="16"/>
  <c r="D8" i="16"/>
  <c r="D4" i="17"/>
  <c r="H4" i="17"/>
  <c r="I7" i="17"/>
  <c r="D8" i="17"/>
  <c r="H8" i="17"/>
  <c r="I11" i="17"/>
  <c r="D12" i="17"/>
  <c r="H12" i="17"/>
  <c r="E3" i="17"/>
  <c r="E13" i="17" s="1"/>
  <c r="L8" i="18"/>
  <c r="H3" i="18"/>
  <c r="D3" i="18"/>
  <c r="D6" i="18"/>
  <c r="H6" i="18"/>
  <c r="E7" i="18"/>
  <c r="E3" i="18"/>
  <c r="E8" i="18" s="1"/>
  <c r="D4" i="19"/>
  <c r="H4" i="19"/>
  <c r="I5" i="22"/>
  <c r="H6" i="22"/>
  <c r="M6" i="22" s="1"/>
  <c r="D6" i="22"/>
  <c r="I9" i="22"/>
  <c r="H10" i="22"/>
  <c r="D10" i="22"/>
  <c r="M10" i="22" s="1"/>
  <c r="I13" i="22"/>
  <c r="D5" i="23"/>
  <c r="H5" i="23"/>
  <c r="I7" i="23"/>
  <c r="I3" i="23"/>
  <c r="I8" i="23" s="1"/>
  <c r="E4" i="24"/>
  <c r="I5" i="24"/>
  <c r="E6" i="24"/>
  <c r="L7" i="24"/>
  <c r="I4" i="25"/>
  <c r="H5" i="25"/>
  <c r="D5" i="25"/>
  <c r="I8" i="25"/>
  <c r="D9" i="25"/>
  <c r="H9" i="25"/>
  <c r="H12" i="25"/>
  <c r="M12" i="25" s="1"/>
  <c r="D12" i="25"/>
  <c r="H4" i="26"/>
  <c r="D4" i="26"/>
  <c r="I7" i="26"/>
  <c r="H8" i="26"/>
  <c r="D8" i="26"/>
  <c r="I11" i="26"/>
  <c r="H12" i="26"/>
  <c r="D12" i="26"/>
  <c r="M12" i="26" s="1"/>
  <c r="L4" i="14"/>
  <c r="H3" i="14"/>
  <c r="D3" i="14"/>
  <c r="H3" i="21"/>
  <c r="D3" i="21"/>
  <c r="H3" i="20"/>
  <c r="D3" i="20"/>
  <c r="K3" i="7"/>
  <c r="I7" i="11"/>
  <c r="I4" i="11"/>
  <c r="I5" i="11"/>
  <c r="I6" i="11"/>
  <c r="J8" i="26"/>
  <c r="J6" i="26"/>
  <c r="F11" i="26"/>
  <c r="F9" i="26"/>
  <c r="F4" i="26"/>
  <c r="J11" i="26"/>
  <c r="J5" i="26"/>
  <c r="F6" i="26"/>
  <c r="E13" i="26"/>
  <c r="E5" i="26"/>
  <c r="M6" i="26"/>
  <c r="E7" i="26"/>
  <c r="M8" i="26"/>
  <c r="E9" i="26"/>
  <c r="E11" i="26"/>
  <c r="E4" i="26"/>
  <c r="E6" i="26"/>
  <c r="E8" i="26"/>
  <c r="E10" i="26"/>
  <c r="J6" i="25"/>
  <c r="F9" i="25"/>
  <c r="J5" i="25"/>
  <c r="M4" i="25"/>
  <c r="E7" i="25"/>
  <c r="E9" i="25"/>
  <c r="E11" i="25"/>
  <c r="E5" i="25"/>
  <c r="E4" i="25"/>
  <c r="M5" i="25"/>
  <c r="E6" i="25"/>
  <c r="E8" i="25"/>
  <c r="E10" i="25"/>
  <c r="F4" i="24"/>
  <c r="J6" i="23"/>
  <c r="F7" i="23"/>
  <c r="I5" i="23"/>
  <c r="E4" i="23"/>
  <c r="E6" i="23"/>
  <c r="M7" i="23"/>
  <c r="E8" i="23"/>
  <c r="E5" i="23"/>
  <c r="J12" i="22"/>
  <c r="J10" i="22"/>
  <c r="J8" i="22"/>
  <c r="J4" i="22"/>
  <c r="F12" i="22"/>
  <c r="F10" i="22"/>
  <c r="K10" i="22" s="1"/>
  <c r="F13" i="22"/>
  <c r="F11" i="22"/>
  <c r="F9" i="22"/>
  <c r="F5" i="22"/>
  <c r="F8" i="22"/>
  <c r="F6" i="22"/>
  <c r="J11" i="22"/>
  <c r="J9" i="22"/>
  <c r="J7" i="22"/>
  <c r="F14" i="22"/>
  <c r="E15" i="22"/>
  <c r="E5" i="22"/>
  <c r="E7" i="22"/>
  <c r="M8" i="22"/>
  <c r="E9" i="22"/>
  <c r="E11" i="22"/>
  <c r="E13" i="22"/>
  <c r="E4" i="22"/>
  <c r="E6" i="22"/>
  <c r="E8" i="22"/>
  <c r="E10" i="22"/>
  <c r="E12" i="22"/>
  <c r="L7" i="19"/>
  <c r="J5" i="19"/>
  <c r="F4" i="19"/>
  <c r="J6" i="19"/>
  <c r="E4" i="19"/>
  <c r="E6" i="19"/>
  <c r="E7" i="19"/>
  <c r="E5" i="19"/>
  <c r="J7" i="18"/>
  <c r="J5" i="18"/>
  <c r="J4" i="18"/>
  <c r="F6" i="18"/>
  <c r="F4" i="18"/>
  <c r="J6" i="18"/>
  <c r="F7" i="18"/>
  <c r="F5" i="18"/>
  <c r="E6" i="18"/>
  <c r="I5" i="18"/>
  <c r="E4" i="18"/>
  <c r="M7" i="18"/>
  <c r="E5" i="18"/>
  <c r="E5" i="17"/>
  <c r="E7" i="17"/>
  <c r="E9" i="17"/>
  <c r="E11" i="17"/>
  <c r="E4" i="17"/>
  <c r="E6" i="17"/>
  <c r="E8" i="17"/>
  <c r="E10" i="17"/>
  <c r="E12" i="17"/>
  <c r="L9" i="16"/>
  <c r="J6" i="16"/>
  <c r="J5" i="16"/>
  <c r="F6" i="16"/>
  <c r="F8" i="16"/>
  <c r="E7" i="16"/>
  <c r="E9" i="16"/>
  <c r="E6" i="16"/>
  <c r="E8" i="16"/>
  <c r="M9" i="15"/>
  <c r="M13" i="15"/>
  <c r="M5" i="15"/>
  <c r="L14" i="15"/>
  <c r="M3" i="13"/>
  <c r="L5" i="13"/>
  <c r="L6" i="12"/>
  <c r="L7" i="11"/>
  <c r="E5" i="9"/>
  <c r="E7" i="9"/>
  <c r="F6" i="17" l="1"/>
  <c r="J4" i="17"/>
  <c r="M12" i="17"/>
  <c r="J5" i="17"/>
  <c r="J12" i="17"/>
  <c r="J3" i="17"/>
  <c r="J13" i="17" s="1"/>
  <c r="F3" i="17"/>
  <c r="K3" i="17" s="1"/>
  <c r="F3" i="23"/>
  <c r="J3" i="23"/>
  <c r="J8" i="23" s="1"/>
  <c r="J3" i="22"/>
  <c r="J15" i="22" s="1"/>
  <c r="F3" i="22"/>
  <c r="M5" i="24"/>
  <c r="M26" i="11"/>
  <c r="F3" i="13"/>
  <c r="J4" i="13"/>
  <c r="F4" i="13"/>
  <c r="K4" i="13" s="1"/>
  <c r="J3" i="13"/>
  <c r="J5" i="13" s="1"/>
  <c r="F6" i="24"/>
  <c r="K6" i="24" s="1"/>
  <c r="M6" i="24" s="1"/>
  <c r="J3" i="24"/>
  <c r="J7" i="24" s="1"/>
  <c r="F3" i="24"/>
  <c r="J4" i="24"/>
  <c r="K4" i="24" s="1"/>
  <c r="M4" i="24" s="1"/>
  <c r="J5" i="24"/>
  <c r="J6" i="24"/>
  <c r="F5" i="24"/>
  <c r="J3" i="25"/>
  <c r="J13" i="25" s="1"/>
  <c r="F3" i="25"/>
  <c r="K3" i="25" s="1"/>
  <c r="J8" i="16"/>
  <c r="F4" i="16"/>
  <c r="J4" i="16"/>
  <c r="J9" i="16" s="1"/>
  <c r="F8" i="17"/>
  <c r="J7" i="17"/>
  <c r="F12" i="17"/>
  <c r="K12" i="17" s="1"/>
  <c r="F11" i="17"/>
  <c r="J6" i="17"/>
  <c r="K6" i="17" s="1"/>
  <c r="M6" i="17" s="1"/>
  <c r="J3" i="19"/>
  <c r="J7" i="19" s="1"/>
  <c r="F3" i="19"/>
  <c r="F7" i="19" s="1"/>
  <c r="K8" i="22"/>
  <c r="F4" i="23"/>
  <c r="F4" i="25"/>
  <c r="K4" i="25" s="1"/>
  <c r="J11" i="25"/>
  <c r="F11" i="25"/>
  <c r="K11" i="25" s="1"/>
  <c r="J7" i="25"/>
  <c r="J8" i="25"/>
  <c r="K6" i="26"/>
  <c r="F3" i="26"/>
  <c r="J3" i="26"/>
  <c r="J13" i="26" s="1"/>
  <c r="M25" i="11"/>
  <c r="J22" i="11"/>
  <c r="J26" i="11"/>
  <c r="F25" i="11"/>
  <c r="J23" i="11"/>
  <c r="J21" i="11"/>
  <c r="J27" i="11" s="1"/>
  <c r="F26" i="11"/>
  <c r="K26" i="11" s="1"/>
  <c r="J25" i="11"/>
  <c r="F24" i="11"/>
  <c r="K24" i="11" s="1"/>
  <c r="F21" i="11"/>
  <c r="F22" i="11"/>
  <c r="K22" i="11" s="1"/>
  <c r="J24" i="11"/>
  <c r="F23" i="11"/>
  <c r="K23" i="11" s="1"/>
  <c r="H3" i="11"/>
  <c r="J3" i="11"/>
  <c r="F5" i="16"/>
  <c r="J7" i="16"/>
  <c r="J9" i="17"/>
  <c r="K9" i="17" s="1"/>
  <c r="F5" i="17"/>
  <c r="J8" i="17"/>
  <c r="K7" i="18"/>
  <c r="F5" i="19"/>
  <c r="F6" i="19"/>
  <c r="F6" i="23"/>
  <c r="K6" i="23" s="1"/>
  <c r="J5" i="23"/>
  <c r="F6" i="25"/>
  <c r="K6" i="25" s="1"/>
  <c r="M6" i="25" s="1"/>
  <c r="F5" i="25"/>
  <c r="K5" i="25" s="1"/>
  <c r="F10" i="25"/>
  <c r="J9" i="25"/>
  <c r="J10" i="25"/>
  <c r="F10" i="26"/>
  <c r="K10" i="26" s="1"/>
  <c r="M10" i="26" s="1"/>
  <c r="J7" i="26"/>
  <c r="F5" i="26"/>
  <c r="K5" i="26" s="1"/>
  <c r="F8" i="26"/>
  <c r="K8" i="26" s="1"/>
  <c r="J10" i="26"/>
  <c r="M4" i="10"/>
  <c r="J4" i="12"/>
  <c r="F3" i="12"/>
  <c r="F5" i="12"/>
  <c r="K5" i="12" s="1"/>
  <c r="M5" i="12" s="1"/>
  <c r="J5" i="12"/>
  <c r="F4" i="12"/>
  <c r="K4" i="12" s="1"/>
  <c r="M4" i="12" s="1"/>
  <c r="J3" i="12"/>
  <c r="J6" i="12" s="1"/>
  <c r="J7" i="15"/>
  <c r="J11" i="15"/>
  <c r="F6" i="15"/>
  <c r="F10" i="15"/>
  <c r="K10" i="15" s="1"/>
  <c r="F3" i="15"/>
  <c r="J4" i="15"/>
  <c r="J8" i="15"/>
  <c r="J12" i="15"/>
  <c r="F7" i="15"/>
  <c r="K7" i="15" s="1"/>
  <c r="M7" i="15" s="1"/>
  <c r="F11" i="15"/>
  <c r="K11" i="15" s="1"/>
  <c r="M11" i="15" s="1"/>
  <c r="J6" i="15"/>
  <c r="J3" i="15"/>
  <c r="J14" i="15" s="1"/>
  <c r="F5" i="15"/>
  <c r="K5" i="15" s="1"/>
  <c r="F13" i="15"/>
  <c r="J10" i="15"/>
  <c r="J5" i="15"/>
  <c r="J13" i="15"/>
  <c r="F4" i="15"/>
  <c r="K4" i="15" s="1"/>
  <c r="M4" i="15" s="1"/>
  <c r="F12" i="15"/>
  <c r="J9" i="15"/>
  <c r="F8" i="15"/>
  <c r="K8" i="15" s="1"/>
  <c r="M8" i="15" s="1"/>
  <c r="F9" i="15"/>
  <c r="F7" i="16"/>
  <c r="F4" i="17"/>
  <c r="K4" i="17" s="1"/>
  <c r="J11" i="17"/>
  <c r="F7" i="17"/>
  <c r="F10" i="17"/>
  <c r="J10" i="17"/>
  <c r="J4" i="19"/>
  <c r="K4" i="19" s="1"/>
  <c r="M4" i="19" s="1"/>
  <c r="J5" i="22"/>
  <c r="J13" i="22"/>
  <c r="F7" i="22"/>
  <c r="F4" i="22"/>
  <c r="K4" i="22" s="1"/>
  <c r="M4" i="22" s="1"/>
  <c r="J6" i="22"/>
  <c r="K6" i="22" s="1"/>
  <c r="J14" i="22"/>
  <c r="K14" i="22" s="1"/>
  <c r="F5" i="23"/>
  <c r="J4" i="23"/>
  <c r="J7" i="23"/>
  <c r="K7" i="23" s="1"/>
  <c r="F8" i="25"/>
  <c r="K8" i="25" s="1"/>
  <c r="M8" i="25" s="1"/>
  <c r="F7" i="25"/>
  <c r="F12" i="25"/>
  <c r="K12" i="25" s="1"/>
  <c r="J4" i="25"/>
  <c r="J12" i="25"/>
  <c r="F12" i="26"/>
  <c r="J9" i="26"/>
  <c r="F7" i="26"/>
  <c r="K7" i="26" s="1"/>
  <c r="J4" i="26"/>
  <c r="J12" i="26"/>
  <c r="F3" i="18"/>
  <c r="K3" i="18" s="1"/>
  <c r="J3" i="18"/>
  <c r="J8" i="18" s="1"/>
  <c r="M23" i="11"/>
  <c r="M6" i="15"/>
  <c r="J3" i="10"/>
  <c r="J7" i="10" s="1"/>
  <c r="F3" i="10"/>
  <c r="J4" i="10"/>
  <c r="F6" i="10"/>
  <c r="J6" i="10"/>
  <c r="F5" i="10"/>
  <c r="J5" i="10"/>
  <c r="F4" i="10"/>
  <c r="K4" i="10" s="1"/>
  <c r="F3" i="14"/>
  <c r="J3" i="14"/>
  <c r="J4" i="14" s="1"/>
  <c r="K3" i="21"/>
  <c r="F3" i="11"/>
  <c r="J7" i="11"/>
  <c r="J4" i="11"/>
  <c r="H4" i="11"/>
  <c r="F4" i="11"/>
  <c r="J5" i="11"/>
  <c r="H5" i="11"/>
  <c r="M5" i="11" s="1"/>
  <c r="F6" i="11"/>
  <c r="F5" i="11"/>
  <c r="J6" i="11"/>
  <c r="H6" i="11"/>
  <c r="M6" i="11" s="1"/>
  <c r="M5" i="26"/>
  <c r="K4" i="26"/>
  <c r="M4" i="26" s="1"/>
  <c r="K9" i="26"/>
  <c r="M9" i="26" s="1"/>
  <c r="F13" i="26"/>
  <c r="K3" i="26"/>
  <c r="K11" i="26"/>
  <c r="M11" i="26" s="1"/>
  <c r="M11" i="25"/>
  <c r="K7" i="25"/>
  <c r="M7" i="25" s="1"/>
  <c r="M9" i="25"/>
  <c r="K9" i="25"/>
  <c r="M3" i="24"/>
  <c r="M4" i="23"/>
  <c r="K5" i="23"/>
  <c r="M5" i="23" s="1"/>
  <c r="M6" i="23"/>
  <c r="M7" i="22"/>
  <c r="K9" i="22"/>
  <c r="F15" i="22"/>
  <c r="K3" i="22"/>
  <c r="K11" i="22"/>
  <c r="M11" i="22" s="1"/>
  <c r="K12" i="22"/>
  <c r="M9" i="22"/>
  <c r="M5" i="22"/>
  <c r="M12" i="22"/>
  <c r="K5" i="22"/>
  <c r="K13" i="22"/>
  <c r="M13" i="22" s="1"/>
  <c r="K7" i="22"/>
  <c r="K3" i="20"/>
  <c r="K5" i="19"/>
  <c r="K3" i="19"/>
  <c r="M6" i="19"/>
  <c r="M5" i="19"/>
  <c r="K6" i="19"/>
  <c r="M6" i="18"/>
  <c r="M4" i="18"/>
  <c r="K4" i="18"/>
  <c r="K5" i="18"/>
  <c r="M5" i="18" s="1"/>
  <c r="K6" i="18"/>
  <c r="M11" i="17"/>
  <c r="M9" i="17"/>
  <c r="M5" i="17"/>
  <c r="M4" i="17"/>
  <c r="K8" i="17"/>
  <c r="M8" i="17" s="1"/>
  <c r="M7" i="16"/>
  <c r="K8" i="16"/>
  <c r="K5" i="16"/>
  <c r="F9" i="16"/>
  <c r="K6" i="16"/>
  <c r="M6" i="16" s="1"/>
  <c r="M5" i="16"/>
  <c r="M8" i="16"/>
  <c r="M3" i="15"/>
  <c r="M3" i="14"/>
  <c r="M3" i="12"/>
  <c r="M21" i="11"/>
  <c r="M3" i="11"/>
  <c r="M3" i="10"/>
  <c r="K5" i="17" l="1"/>
  <c r="K7" i="17"/>
  <c r="M7" i="17" s="1"/>
  <c r="F13" i="17"/>
  <c r="K3" i="15"/>
  <c r="K14" i="15" s="1"/>
  <c r="F14" i="15"/>
  <c r="K12" i="26"/>
  <c r="K3" i="12"/>
  <c r="K6" i="12" s="1"/>
  <c r="F6" i="12"/>
  <c r="K25" i="11"/>
  <c r="K4" i="16"/>
  <c r="K5" i="24"/>
  <c r="K3" i="24"/>
  <c r="K7" i="24" s="1"/>
  <c r="F7" i="24"/>
  <c r="F8" i="18"/>
  <c r="K5" i="11"/>
  <c r="K6" i="10"/>
  <c r="K4" i="23"/>
  <c r="K11" i="17"/>
  <c r="K3" i="23"/>
  <c r="K8" i="23" s="1"/>
  <c r="F8" i="23"/>
  <c r="K10" i="17"/>
  <c r="K7" i="16"/>
  <c r="K12" i="15"/>
  <c r="M12" i="15" s="1"/>
  <c r="K6" i="15"/>
  <c r="F13" i="25"/>
  <c r="K5" i="10"/>
  <c r="M5" i="10" s="1"/>
  <c r="K3" i="10"/>
  <c r="K7" i="10" s="1"/>
  <c r="F7" i="10"/>
  <c r="K9" i="15"/>
  <c r="K13" i="15"/>
  <c r="K10" i="25"/>
  <c r="M10" i="25" s="1"/>
  <c r="K21" i="11"/>
  <c r="K27" i="11" s="1"/>
  <c r="F27" i="11"/>
  <c r="K3" i="13"/>
  <c r="K5" i="13" s="1"/>
  <c r="F5" i="13"/>
  <c r="K3" i="14"/>
  <c r="K4" i="14" s="1"/>
  <c r="F4" i="14"/>
  <c r="K4" i="11"/>
  <c r="M4" i="11" s="1"/>
  <c r="K6" i="11"/>
  <c r="K3" i="11"/>
  <c r="K7" i="11" s="1"/>
  <c r="F7" i="11"/>
  <c r="K13" i="26"/>
  <c r="M3" i="26"/>
  <c r="M3" i="25"/>
  <c r="K13" i="25"/>
  <c r="M3" i="23"/>
  <c r="K15" i="22"/>
  <c r="M3" i="22"/>
  <c r="M3" i="21"/>
  <c r="M3" i="20"/>
  <c r="K7" i="19"/>
  <c r="M3" i="19"/>
  <c r="K8" i="18"/>
  <c r="M3" i="18"/>
  <c r="K13" i="17"/>
  <c r="M3" i="17"/>
  <c r="K9" i="16"/>
  <c r="M4" i="16"/>
  <c r="E8" i="9" l="1"/>
  <c r="I8" i="9"/>
  <c r="L3" i="2"/>
  <c r="N7" i="9"/>
  <c r="L7" i="9"/>
  <c r="N6" i="9"/>
  <c r="L6" i="9"/>
  <c r="N5" i="9"/>
  <c r="L5" i="9"/>
  <c r="N4" i="9"/>
  <c r="L4" i="9"/>
  <c r="N3" i="8"/>
  <c r="L3" i="8"/>
  <c r="H3" i="8" s="1"/>
  <c r="N3" i="6"/>
  <c r="D11" i="5"/>
  <c r="E11" i="5"/>
  <c r="D12" i="5"/>
  <c r="E12" i="5"/>
  <c r="D13" i="5"/>
  <c r="E13" i="5"/>
  <c r="E10" i="5"/>
  <c r="D10" i="5"/>
  <c r="G7" i="5"/>
  <c r="C7" i="5"/>
  <c r="N6" i="5"/>
  <c r="L6" i="5"/>
  <c r="N5" i="5"/>
  <c r="L5" i="5"/>
  <c r="E5" i="5"/>
  <c r="N4" i="5"/>
  <c r="L4" i="5"/>
  <c r="N3" i="5"/>
  <c r="L3" i="5"/>
  <c r="E16" i="4"/>
  <c r="D16" i="4"/>
  <c r="E15" i="4"/>
  <c r="D15" i="4"/>
  <c r="E14" i="4"/>
  <c r="D14" i="4"/>
  <c r="E13" i="4"/>
  <c r="D13" i="4"/>
  <c r="E12" i="4"/>
  <c r="D12" i="4"/>
  <c r="G8" i="4"/>
  <c r="C8" i="4"/>
  <c r="E3" i="4" s="1"/>
  <c r="N7" i="4"/>
  <c r="L7" i="4"/>
  <c r="N6" i="4"/>
  <c r="L6" i="4"/>
  <c r="N5" i="4"/>
  <c r="L5" i="4"/>
  <c r="N4" i="4"/>
  <c r="L4" i="4"/>
  <c r="N3" i="4"/>
  <c r="L3" i="4"/>
  <c r="N3" i="3"/>
  <c r="L3" i="3"/>
  <c r="H3" i="3" l="1"/>
  <c r="D3" i="3"/>
  <c r="H4" i="4"/>
  <c r="D4" i="4"/>
  <c r="D6" i="4"/>
  <c r="H6" i="4"/>
  <c r="H3" i="5"/>
  <c r="D3" i="5"/>
  <c r="H5" i="9"/>
  <c r="D5" i="9"/>
  <c r="H7" i="9"/>
  <c r="D7" i="9"/>
  <c r="I6" i="4"/>
  <c r="I3" i="4"/>
  <c r="I8" i="4" s="1"/>
  <c r="H5" i="5"/>
  <c r="D5" i="5"/>
  <c r="E3" i="5"/>
  <c r="E7" i="5" s="1"/>
  <c r="D3" i="4"/>
  <c r="H3" i="4"/>
  <c r="H5" i="4"/>
  <c r="D5" i="4"/>
  <c r="H7" i="4"/>
  <c r="D7" i="4"/>
  <c r="H4" i="5"/>
  <c r="D4" i="5"/>
  <c r="I6" i="5"/>
  <c r="I3" i="5"/>
  <c r="H4" i="9"/>
  <c r="D4" i="9"/>
  <c r="L8" i="9"/>
  <c r="H6" i="9"/>
  <c r="D6" i="9"/>
  <c r="H6" i="5"/>
  <c r="D6" i="5"/>
  <c r="H3" i="2"/>
  <c r="D3" i="2"/>
  <c r="D3" i="8"/>
  <c r="H3" i="6"/>
  <c r="D3" i="6"/>
  <c r="I7" i="5"/>
  <c r="I4" i="5"/>
  <c r="I5" i="5"/>
  <c r="L7" i="5"/>
  <c r="F4" i="5"/>
  <c r="E4" i="5"/>
  <c r="E6" i="5"/>
  <c r="L8" i="4"/>
  <c r="I4" i="4"/>
  <c r="F7" i="4"/>
  <c r="F4" i="4"/>
  <c r="E4" i="4"/>
  <c r="E6" i="4"/>
  <c r="I5" i="4"/>
  <c r="I7" i="4"/>
  <c r="E8" i="4"/>
  <c r="E5" i="4"/>
  <c r="E7" i="4"/>
  <c r="D15" i="2"/>
  <c r="E15" i="2"/>
  <c r="D16" i="2"/>
  <c r="E16" i="2"/>
  <c r="D17" i="2"/>
  <c r="E17" i="2"/>
  <c r="D18" i="2"/>
  <c r="E18" i="2"/>
  <c r="D19" i="2"/>
  <c r="E19" i="2"/>
  <c r="E14" i="2"/>
  <c r="D14" i="2"/>
  <c r="G9" i="2"/>
  <c r="I3" i="2" s="1"/>
  <c r="C9" i="2"/>
  <c r="N8" i="2"/>
  <c r="L8" i="2"/>
  <c r="N7" i="2"/>
  <c r="L7" i="2"/>
  <c r="N6" i="2"/>
  <c r="L6" i="2"/>
  <c r="N5" i="2"/>
  <c r="L5" i="2"/>
  <c r="N4" i="2"/>
  <c r="L4" i="2"/>
  <c r="N3" i="2"/>
  <c r="D5" i="2" l="1"/>
  <c r="H5" i="2"/>
  <c r="H7" i="2"/>
  <c r="D7" i="2"/>
  <c r="E8" i="2"/>
  <c r="E3" i="2"/>
  <c r="E9" i="2" s="1"/>
  <c r="J7" i="4"/>
  <c r="K7" i="4" s="1"/>
  <c r="M7" i="4" s="1"/>
  <c r="J3" i="4"/>
  <c r="J8" i="4" s="1"/>
  <c r="F3" i="4"/>
  <c r="J5" i="5"/>
  <c r="J3" i="5"/>
  <c r="J7" i="5" s="1"/>
  <c r="F3" i="5"/>
  <c r="F7" i="5" s="1"/>
  <c r="J7" i="9"/>
  <c r="F4" i="9"/>
  <c r="F8" i="9" s="1"/>
  <c r="J4" i="9"/>
  <c r="J8" i="9" s="1"/>
  <c r="F5" i="9"/>
  <c r="K5" i="9" s="1"/>
  <c r="J6" i="9"/>
  <c r="F6" i="9"/>
  <c r="K6" i="9" s="1"/>
  <c r="J5" i="9"/>
  <c r="F7" i="9"/>
  <c r="K7" i="9" s="1"/>
  <c r="H4" i="2"/>
  <c r="D4" i="2"/>
  <c r="H6" i="2"/>
  <c r="D6" i="2"/>
  <c r="H8" i="2"/>
  <c r="D8" i="2"/>
  <c r="J4" i="4"/>
  <c r="J6" i="4"/>
  <c r="J5" i="4"/>
  <c r="M5" i="9"/>
  <c r="M6" i="9"/>
  <c r="M7" i="9"/>
  <c r="F5" i="5"/>
  <c r="F6" i="5"/>
  <c r="K6" i="5" s="1"/>
  <c r="M6" i="5" s="1"/>
  <c r="J4" i="5"/>
  <c r="K4" i="5" s="1"/>
  <c r="M4" i="5" s="1"/>
  <c r="J6" i="5"/>
  <c r="F5" i="4"/>
  <c r="K5" i="4" s="1"/>
  <c r="M5" i="4" s="1"/>
  <c r="F6" i="4"/>
  <c r="E6" i="2"/>
  <c r="K5" i="5"/>
  <c r="M5" i="5" s="1"/>
  <c r="K4" i="4"/>
  <c r="M4" i="4" s="1"/>
  <c r="K6" i="4"/>
  <c r="M6" i="4" s="1"/>
  <c r="F8" i="4"/>
  <c r="E5" i="2"/>
  <c r="E7" i="2"/>
  <c r="E4" i="2"/>
  <c r="L9" i="2"/>
  <c r="I9" i="2"/>
  <c r="I5" i="2"/>
  <c r="I7" i="2"/>
  <c r="I4" i="2"/>
  <c r="I6" i="2"/>
  <c r="I8" i="2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E17" i="1"/>
  <c r="D17" i="1"/>
  <c r="N4" i="1"/>
  <c r="N5" i="1"/>
  <c r="N6" i="1"/>
  <c r="N7" i="1"/>
  <c r="N8" i="1"/>
  <c r="N9" i="1"/>
  <c r="N10" i="1"/>
  <c r="N11" i="1"/>
  <c r="L4" i="1"/>
  <c r="L5" i="1"/>
  <c r="L6" i="1"/>
  <c r="L7" i="1"/>
  <c r="L8" i="1"/>
  <c r="L9" i="1"/>
  <c r="L10" i="1"/>
  <c r="L11" i="1"/>
  <c r="L3" i="1"/>
  <c r="D3" i="1" s="1"/>
  <c r="G13" i="1"/>
  <c r="C13" i="1"/>
  <c r="I6" i="1" l="1"/>
  <c r="I12" i="1"/>
  <c r="K3" i="5"/>
  <c r="J3" i="2"/>
  <c r="F3" i="2"/>
  <c r="K3" i="2" s="1"/>
  <c r="E12" i="1"/>
  <c r="K3" i="4"/>
  <c r="K4" i="9"/>
  <c r="K8" i="9" s="1"/>
  <c r="H10" i="1"/>
  <c r="D10" i="1"/>
  <c r="H3" i="1"/>
  <c r="H9" i="1"/>
  <c r="D9" i="1"/>
  <c r="H5" i="1"/>
  <c r="D5" i="1"/>
  <c r="D6" i="1"/>
  <c r="H6" i="1"/>
  <c r="H8" i="1"/>
  <c r="D8" i="1"/>
  <c r="H4" i="1"/>
  <c r="D4" i="1"/>
  <c r="E6" i="1"/>
  <c r="N13" i="1"/>
  <c r="D11" i="1"/>
  <c r="H11" i="1"/>
  <c r="D7" i="1"/>
  <c r="H7" i="1"/>
  <c r="I11" i="1"/>
  <c r="M4" i="9"/>
  <c r="E7" i="1"/>
  <c r="E11" i="1"/>
  <c r="I3" i="1"/>
  <c r="I9" i="1"/>
  <c r="I7" i="1"/>
  <c r="I5" i="1"/>
  <c r="E10" i="1"/>
  <c r="E4" i="1"/>
  <c r="I4" i="1"/>
  <c r="L13" i="1"/>
  <c r="E8" i="1"/>
  <c r="I10" i="1"/>
  <c r="I8" i="1"/>
  <c r="E3" i="1"/>
  <c r="M3" i="8"/>
  <c r="K3" i="6"/>
  <c r="K7" i="5"/>
  <c r="M3" i="5"/>
  <c r="K8" i="4"/>
  <c r="M3" i="4"/>
  <c r="K3" i="3"/>
  <c r="F7" i="2"/>
  <c r="F5" i="2"/>
  <c r="J7" i="2"/>
  <c r="J5" i="2"/>
  <c r="J9" i="2"/>
  <c r="J6" i="2"/>
  <c r="J8" i="2"/>
  <c r="J4" i="2"/>
  <c r="F8" i="2"/>
  <c r="F6" i="2"/>
  <c r="F4" i="2"/>
  <c r="E9" i="1"/>
  <c r="E5" i="1"/>
  <c r="F12" i="1" l="1"/>
  <c r="J12" i="1"/>
  <c r="I13" i="1"/>
  <c r="J11" i="1"/>
  <c r="F6" i="1"/>
  <c r="E13" i="1"/>
  <c r="M3" i="6"/>
  <c r="J4" i="1"/>
  <c r="F3" i="1"/>
  <c r="J5" i="1"/>
  <c r="J7" i="1"/>
  <c r="J9" i="1"/>
  <c r="F7" i="1"/>
  <c r="F8" i="1"/>
  <c r="J8" i="1"/>
  <c r="J10" i="1"/>
  <c r="J3" i="1"/>
  <c r="F4" i="1"/>
  <c r="F9" i="1"/>
  <c r="F5" i="1"/>
  <c r="F11" i="1"/>
  <c r="J6" i="1"/>
  <c r="F10" i="1"/>
  <c r="M3" i="3"/>
  <c r="K4" i="2"/>
  <c r="M4" i="2" s="1"/>
  <c r="K7" i="2"/>
  <c r="M7" i="2" s="1"/>
  <c r="K6" i="2"/>
  <c r="M6" i="2" s="1"/>
  <c r="K5" i="2"/>
  <c r="M5" i="2" s="1"/>
  <c r="K8" i="2"/>
  <c r="M8" i="2" s="1"/>
  <c r="F9" i="2"/>
  <c r="K12" i="1" l="1"/>
  <c r="K11" i="1"/>
  <c r="M11" i="1" s="1"/>
  <c r="K6" i="1"/>
  <c r="M6" i="1" s="1"/>
  <c r="K9" i="1"/>
  <c r="M9" i="1" s="1"/>
  <c r="K4" i="1"/>
  <c r="J13" i="1"/>
  <c r="F13" i="1"/>
  <c r="K7" i="1"/>
  <c r="M7" i="1" s="1"/>
  <c r="K10" i="1"/>
  <c r="M10" i="1" s="1"/>
  <c r="K3" i="1"/>
  <c r="K5" i="1"/>
  <c r="M5" i="1" s="1"/>
  <c r="K8" i="1"/>
  <c r="M8" i="1" s="1"/>
  <c r="K9" i="2"/>
  <c r="M3" i="2"/>
  <c r="M3" i="1" l="1"/>
  <c r="M4" i="1"/>
  <c r="K13" i="1"/>
</calcChain>
</file>

<file path=xl/sharedStrings.xml><?xml version="1.0" encoding="utf-8"?>
<sst xmlns="http://schemas.openxmlformats.org/spreadsheetml/2006/main" count="613" uniqueCount="97">
  <si>
    <t>Menos de 20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</si>
  <si>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</si>
  <si>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</si>
  <si>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</si>
  <si>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</si>
  <si>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</si>
  <si>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</si>
  <si>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</si>
  <si>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</si>
  <si>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Más 60 años</t>
  </si>
  <si>
    <t>61 años</t>
  </si>
  <si>
    <t>62 años</t>
  </si>
  <si>
    <t>MUJERES</t>
  </si>
  <si>
    <t>Índice distribución</t>
  </si>
  <si>
    <t xml:space="preserve">Índice concentración </t>
  </si>
  <si>
    <t>% Total Mujeres</t>
  </si>
  <si>
    <t>HOMBRES</t>
  </si>
  <si>
    <t>% Total Hombres</t>
  </si>
  <si>
    <t>% Total</t>
  </si>
  <si>
    <t>Brecha de Género</t>
  </si>
  <si>
    <t>Índice Feminización</t>
  </si>
  <si>
    <t>Total Franja</t>
  </si>
  <si>
    <t xml:space="preserve">Antigüedad </t>
  </si>
  <si>
    <t>Menos de 1 año</t>
  </si>
  <si>
    <t>1 a 3 años</t>
  </si>
  <si>
    <t>3 a 5 años</t>
  </si>
  <si>
    <t>5 a 10 años</t>
  </si>
  <si>
    <t>10 a 15 años</t>
  </si>
  <si>
    <t>Más de 15 años</t>
  </si>
  <si>
    <t>Nivel de Estudios</t>
  </si>
  <si>
    <t xml:space="preserve">Edad </t>
  </si>
  <si>
    <t>Modalidad de Contrato</t>
  </si>
  <si>
    <t>Porcentaje de Jornada</t>
  </si>
  <si>
    <t>Parcial               (0% - 38%)</t>
  </si>
  <si>
    <t>Parcial                     (39% - 75%)</t>
  </si>
  <si>
    <t>Parcial                    (76% - 99%)</t>
  </si>
  <si>
    <t>Completa (100%)</t>
  </si>
  <si>
    <t>Puestos Profesionales</t>
  </si>
  <si>
    <t>Puestos Directivos</t>
  </si>
  <si>
    <t>Áreas funcionales</t>
  </si>
  <si>
    <t>Turnos de Trabajo</t>
  </si>
  <si>
    <t>Mañana</t>
  </si>
  <si>
    <t>Tarde</t>
  </si>
  <si>
    <t>Noche</t>
  </si>
  <si>
    <t>Partido</t>
  </si>
  <si>
    <t xml:space="preserve">Hijos </t>
  </si>
  <si>
    <t>Ninguno</t>
  </si>
  <si>
    <t>1 hijo/a</t>
  </si>
  <si>
    <t>2 hijos/as</t>
  </si>
  <si>
    <t>3 o más hijos/as</t>
  </si>
  <si>
    <t>Bajas Temporales</t>
  </si>
  <si>
    <t>Enfermedad Común</t>
  </si>
  <si>
    <t>Accidente Laboral</t>
  </si>
  <si>
    <t>Riesgo embarazo</t>
  </si>
  <si>
    <t>COVID</t>
  </si>
  <si>
    <t>Bajas Definitivas</t>
  </si>
  <si>
    <t>Despido</t>
  </si>
  <si>
    <t>Fallecimiento</t>
  </si>
  <si>
    <t>Finalización Contrato</t>
  </si>
  <si>
    <t>Jubilación</t>
  </si>
  <si>
    <t>No superación de periodo prueba</t>
  </si>
  <si>
    <t>Baja Voluntaria</t>
  </si>
  <si>
    <t>Excedencias</t>
  </si>
  <si>
    <t>Excedencias Voluntarias</t>
  </si>
  <si>
    <t>Excedencias Cuidado Menores</t>
  </si>
  <si>
    <t>Excedencias Cuidado de Personas Mayores</t>
  </si>
  <si>
    <t>Permisos Retribuidos</t>
  </si>
  <si>
    <t>Lactancia</t>
  </si>
  <si>
    <t>Nacimiento</t>
  </si>
  <si>
    <t>Formación</t>
  </si>
  <si>
    <t>Grupo Profesional</t>
  </si>
  <si>
    <t>Grupo Profesional 1</t>
  </si>
  <si>
    <t>Grupo Profesional 3</t>
  </si>
  <si>
    <t>Grupo Profesional 4</t>
  </si>
  <si>
    <t>Grupo Profesional 5</t>
  </si>
  <si>
    <t>Grupo Profesional 6</t>
  </si>
  <si>
    <t>Grupo Profesional 7</t>
  </si>
  <si>
    <t>Grupo Profesional 8</t>
  </si>
  <si>
    <t>Grupo Profesional 9</t>
  </si>
  <si>
    <t>Grupo Profesional 10</t>
  </si>
  <si>
    <t>Grupo Profesional 11</t>
  </si>
  <si>
    <t>Grupo Profesional 2</t>
  </si>
  <si>
    <t>Retribuciones</t>
  </si>
  <si>
    <t>&lt; 12.000€</t>
  </si>
  <si>
    <t>12.001€ a 18.000€</t>
  </si>
  <si>
    <t>18.001€ a 24.000€</t>
  </si>
  <si>
    <t>24.001€ a 30.000€</t>
  </si>
  <si>
    <t>Más de 30.001€</t>
  </si>
  <si>
    <t>Porcentaje Jornada</t>
  </si>
  <si>
    <t>TOTAL</t>
  </si>
  <si>
    <t>Plantilla</t>
  </si>
  <si>
    <t xml:space="preserve">Indefinido a jornada completa </t>
  </si>
  <si>
    <t>Indefinido a jornada parcial</t>
  </si>
  <si>
    <t>Fijo discontinuo</t>
  </si>
  <si>
    <t>Duración determinada jornada completa</t>
  </si>
  <si>
    <t>Duración determinada jornada parcial</t>
  </si>
  <si>
    <t>más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</si>
</sst>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Nirmala UI"/>
      <family val="2"/>
    </font>
    <font>
      <sz val="10"/>
      <color theme="1"/>
      <name val="Nirmala UI"/>
      <family val="2"/>
    </font>
    <font>
      <sz val="11"/>
      <color theme="1"/>
      <name val="Nirmala U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PLANTILLA'!$B$8</c:f>
              <c:strCache>
                <c:ptCount val="1"/>
                <c:pt idx="0">
                  <c:v>Plantilla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CA-49F4-8B8D-E6FD7B5973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CA-49F4-8B8D-E6FD7B59735E}"/>
              </c:ext>
            </c:extLst>
          </c:dPt>
          <c:cat>
            <c:strRef>
              <c:f>'TOTAL PLANTILLA'!$C$7:$D$7</c:f>
              <c:strCache>
                <c:ptCount val="2"/>
                <c:pt idx="0">
                  <c:v>MUJERES</c:v>
                </c:pt>
                <c:pt idx="1">
                  <c:v>HOMBRES</c:v>
                </c:pt>
              </c:strCache>
            </c:strRef>
          </c:cat>
          <c:val>
            <c:numRef>
              <c:f>'TOTAL PLANTILLA'!$C$8:$D$8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F784-434E-9ACD-CA332A83C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Nirmala UI" panose="020B0502040204020203" pitchFamily="34" charset="0"/>
                <a:ea typeface="Nirmala UI" panose="020B0502040204020203" pitchFamily="34" charset="0"/>
                <a:cs typeface="Nirmala UI" panose="020B0502040204020203" pitchFamily="34" charset="0"/>
              </a:defRPr>
            </a:pPr>
            <a:r>
              <a:rPr lang="es-ES" sz="1100">
                <a:latin typeface="Nirmala UI" panose="020B0502040204020203" pitchFamily="34" charset="0"/>
                <a:ea typeface="Nirmala UI" panose="020B0502040204020203" pitchFamily="34" charset="0"/>
                <a:cs typeface="Nirmala UI" panose="020B0502040204020203" pitchFamily="34" charset="0"/>
              </a:rPr>
              <a:t>PLANTILLA DESAGREGADA POR EDAD Y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Nirmala UI" panose="020B0502040204020203" pitchFamily="34" charset="0"/>
              <a:ea typeface="Nirmala UI" panose="020B0502040204020203" pitchFamily="34" charset="0"/>
              <a:cs typeface="Nirmala UI" panose="020B0502040204020203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EDAD!$D$16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EDAD!$C$17:$C$26</c:f>
              <c:strCache>
                <c:ptCount val="10"/>
                <c:pt idx="0">
                  <c:v>Menos de 20 años</c:v>
                </c:pt>
                <c:pt idx="1">
                  <c:v>20-24 años</c:v>
                </c:pt>
                <c:pt idx="2">
                  <c:v>25-29 años</c:v>
                </c:pt>
                <c:pt idx="3">
                  <c:v>30-34 años</c:v>
                </c:pt>
                <c:pt idx="4">
                  <c:v>35-39 años</c:v>
                </c:pt>
                <c:pt idx="5">
                  <c:v>40-44 años</c:v>
                </c:pt>
                <c:pt idx="6">
                  <c:v>45-49 años</c:v>
                </c:pt>
                <c:pt idx="7">
                  <c:v>50-54 años</c:v>
                </c:pt>
                <c:pt idx="8">
                  <c:v>55-59 años</c:v>
                </c:pt>
                <c:pt idx="9">
                  <c:v>más 60 años</c:v>
                </c:pt>
              </c:strCache>
            </c:strRef>
          </c:cat>
          <c:val>
            <c:numRef>
              <c:f>EDAD!$D$17:$D$26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8-4B57-BFAD-D4F0D615D09B}"/>
            </c:ext>
          </c:extLst>
        </c:ser>
        <c:ser>
          <c:idx val="1"/>
          <c:order val="1"/>
          <c:tx>
            <c:strRef>
              <c:f>EDAD!$E$16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EDAD!$C$17:$C$26</c:f>
              <c:strCache>
                <c:ptCount val="10"/>
                <c:pt idx="0">
                  <c:v>Menos de 20 años</c:v>
                </c:pt>
                <c:pt idx="1">
                  <c:v>20-24 años</c:v>
                </c:pt>
                <c:pt idx="2">
                  <c:v>25-29 años</c:v>
                </c:pt>
                <c:pt idx="3">
                  <c:v>30-34 años</c:v>
                </c:pt>
                <c:pt idx="4">
                  <c:v>35-39 años</c:v>
                </c:pt>
                <c:pt idx="5">
                  <c:v>40-44 años</c:v>
                </c:pt>
                <c:pt idx="6">
                  <c:v>45-49 años</c:v>
                </c:pt>
                <c:pt idx="7">
                  <c:v>50-54 años</c:v>
                </c:pt>
                <c:pt idx="8">
                  <c:v>55-59 años</c:v>
                </c:pt>
                <c:pt idx="9">
                  <c:v>más 60 años</c:v>
                </c:pt>
              </c:strCache>
            </c:strRef>
          </c:cat>
          <c:val>
            <c:numRef>
              <c:f>EDAD!$E$17:$E$26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C8-4B57-BFAD-D4F0D615D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43200136"/>
        <c:axId val="443197256"/>
      </c:barChart>
      <c:catAx>
        <c:axId val="443200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3197256"/>
        <c:crosses val="autoZero"/>
        <c:auto val="1"/>
        <c:lblAlgn val="ctr"/>
        <c:lblOffset val="100"/>
        <c:noMultiLvlLbl val="0"/>
      </c:catAx>
      <c:valAx>
        <c:axId val="44319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32001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100">
                <a:solidFill>
                  <a:schemeClr val="tx1">
                    <a:lumMod val="75000"/>
                    <a:lumOff val="25000"/>
                  </a:schemeClr>
                </a:solidFill>
                <a:latin typeface="Nirmala UI" panose="020B0502040204020203" pitchFamily="34" charset="0"/>
                <a:ea typeface="Nirmala UI" panose="020B0502040204020203" pitchFamily="34" charset="0"/>
                <a:cs typeface="Nirmala UI" panose="020B0502040204020203" pitchFamily="34" charset="0"/>
              </a:rPr>
              <a:t>PLANTILLA DESAGREGADA POR ANTIGÜEDAD Y 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ANTIGÜEDAD!$D$13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ANTIGÜEDAD!$C$14:$C$19</c:f>
              <c:strCache>
                <c:ptCount val="6"/>
                <c:pt idx="0">
                  <c:v>Menos de 1 año</c:v>
                </c:pt>
                <c:pt idx="1">
                  <c:v>1 a 3 años</c:v>
                </c:pt>
                <c:pt idx="2">
                  <c:v>3 a 5 años</c:v>
                </c:pt>
                <c:pt idx="3">
                  <c:v>5 a 10 años</c:v>
                </c:pt>
                <c:pt idx="4">
                  <c:v>10 a 15 años</c:v>
                </c:pt>
                <c:pt idx="5">
                  <c:v>Más de 15 años</c:v>
                </c:pt>
              </c:strCache>
            </c:strRef>
          </c:cat>
          <c:val>
            <c:numRef>
              <c:f>ANTIGÜEDAD!$D$14:$D$19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8-4964-84F4-FCDF0A5F6367}"/>
            </c:ext>
          </c:extLst>
        </c:ser>
        <c:ser>
          <c:idx val="1"/>
          <c:order val="1"/>
          <c:tx>
            <c:strRef>
              <c:f>ANTIGÜEDAD!$E$13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ANTIGÜEDAD!$C$14:$C$19</c:f>
              <c:strCache>
                <c:ptCount val="6"/>
                <c:pt idx="0">
                  <c:v>Menos de 1 año</c:v>
                </c:pt>
                <c:pt idx="1">
                  <c:v>1 a 3 años</c:v>
                </c:pt>
                <c:pt idx="2">
                  <c:v>3 a 5 años</c:v>
                </c:pt>
                <c:pt idx="3">
                  <c:v>5 a 10 años</c:v>
                </c:pt>
                <c:pt idx="4">
                  <c:v>10 a 15 años</c:v>
                </c:pt>
                <c:pt idx="5">
                  <c:v>Más de 15 años</c:v>
                </c:pt>
              </c:strCache>
            </c:strRef>
          </c:cat>
          <c:val>
            <c:numRef>
              <c:f>ANTIGÜEDAD!$E$14:$E$19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8-4964-84F4-FCDF0A5F6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713985720"/>
        <c:axId val="713989320"/>
      </c:barChart>
      <c:catAx>
        <c:axId val="71398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989320"/>
        <c:crosses val="autoZero"/>
        <c:auto val="1"/>
        <c:lblAlgn val="ctr"/>
        <c:lblOffset val="100"/>
        <c:noMultiLvlLbl val="0"/>
      </c:catAx>
      <c:valAx>
        <c:axId val="71398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9857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'MODALIDAD CONTRATO'!$D$11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'MODALIDAD CONTRATO'!$C$12:$C$16</c:f>
              <c:strCache>
                <c:ptCount val="5"/>
                <c:pt idx="0">
                  <c:v>Indefinido a jornada completa </c:v>
                </c:pt>
                <c:pt idx="1">
                  <c:v>Indefinido a jornada parcial</c:v>
                </c:pt>
                <c:pt idx="2">
                  <c:v>Fijo discontinuo</c:v>
                </c:pt>
                <c:pt idx="3">
                  <c:v>Duración determinada jornada completa</c:v>
                </c:pt>
                <c:pt idx="4">
                  <c:v>Duración determinada jornada parcial</c:v>
                </c:pt>
              </c:strCache>
            </c:strRef>
          </c:cat>
          <c:val>
            <c:numRef>
              <c:f>'MODALIDAD CONTRATO'!$D$12:$D$16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6-4454-A781-4C826F8998BE}"/>
            </c:ext>
          </c:extLst>
        </c:ser>
        <c:ser>
          <c:idx val="1"/>
          <c:order val="1"/>
          <c:tx>
            <c:strRef>
              <c:f>'MODALIDAD CONTRATO'!$E$11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'MODALIDAD CONTRATO'!$C$12:$C$16</c:f>
              <c:strCache>
                <c:ptCount val="5"/>
                <c:pt idx="0">
                  <c:v>Indefinido a jornada completa </c:v>
                </c:pt>
                <c:pt idx="1">
                  <c:v>Indefinido a jornada parcial</c:v>
                </c:pt>
                <c:pt idx="2">
                  <c:v>Fijo discontinuo</c:v>
                </c:pt>
                <c:pt idx="3">
                  <c:v>Duración determinada jornada completa</c:v>
                </c:pt>
                <c:pt idx="4">
                  <c:v>Duración determinada jornada parcial</c:v>
                </c:pt>
              </c:strCache>
            </c:strRef>
          </c:cat>
          <c:val>
            <c:numRef>
              <c:f>'MODALIDAD CONTRATO'!$E$12:$E$16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6-4454-A781-4C826F899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423072"/>
        <c:axId val="437429552"/>
      </c:barChart>
      <c:catAx>
        <c:axId val="4374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7429552"/>
        <c:crosses val="autoZero"/>
        <c:auto val="1"/>
        <c:lblAlgn val="ctr"/>
        <c:lblOffset val="100"/>
        <c:noMultiLvlLbl val="0"/>
      </c:catAx>
      <c:valAx>
        <c:axId val="4374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74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'PORCENTAJE DE JORNADA'!$D$9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'PORCENTAJE DE JORNADA'!$C$10:$C$13</c:f>
              <c:strCache>
                <c:ptCount val="4"/>
                <c:pt idx="0">
                  <c:v>Parcial               (0% - 38%)</c:v>
                </c:pt>
                <c:pt idx="1">
                  <c:v>Parcial                     (39% - 75%)</c:v>
                </c:pt>
                <c:pt idx="2">
                  <c:v>Parcial                    (76% - 99%)</c:v>
                </c:pt>
                <c:pt idx="3">
                  <c:v>Completa (100%)</c:v>
                </c:pt>
              </c:strCache>
            </c:strRef>
          </c:cat>
          <c:val>
            <c:numRef>
              <c:f>'PORCENTAJE DE JORNADA'!$D$10:$D$13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C2C-AC69-B2DB339BBEB4}"/>
            </c:ext>
          </c:extLst>
        </c:ser>
        <c:ser>
          <c:idx val="1"/>
          <c:order val="1"/>
          <c:tx>
            <c:strRef>
              <c:f>'PORCENTAJE DE JORNADA'!$E$9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'PORCENTAJE DE JORNADA'!$C$10:$C$13</c:f>
              <c:strCache>
                <c:ptCount val="4"/>
                <c:pt idx="0">
                  <c:v>Parcial               (0% - 38%)</c:v>
                </c:pt>
                <c:pt idx="1">
                  <c:v>Parcial                     (39% - 75%)</c:v>
                </c:pt>
                <c:pt idx="2">
                  <c:v>Parcial                    (76% - 99%)</c:v>
                </c:pt>
                <c:pt idx="3">
                  <c:v>Completa (100%)</c:v>
                </c:pt>
              </c:strCache>
            </c:strRef>
          </c:cat>
          <c:val>
            <c:numRef>
              <c:f>'PORCENTAJE DE JORNADA'!$E$10:$E$13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C-4C2C-AC69-B2DB339BB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419112"/>
        <c:axId val="437426312"/>
      </c:barChart>
      <c:catAx>
        <c:axId val="43741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7426312"/>
        <c:crosses val="autoZero"/>
        <c:auto val="1"/>
        <c:lblAlgn val="ctr"/>
        <c:lblOffset val="100"/>
        <c:noMultiLvlLbl val="0"/>
      </c:catAx>
      <c:valAx>
        <c:axId val="43742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741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'TURNOS DE TRABAJO'!$D$11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'TURNOS DE TRABAJO'!$C$12:$C$15</c:f>
              <c:strCache>
                <c:ptCount val="4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  <c:pt idx="3">
                  <c:v>Partido</c:v>
                </c:pt>
              </c:strCache>
            </c:strRef>
          </c:cat>
          <c:val>
            <c:numRef>
              <c:f>'TURNOS DE TRABAJO'!$D$12:$D$15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1-4636-BCB4-C97FEDE9326B}"/>
            </c:ext>
          </c:extLst>
        </c:ser>
        <c:ser>
          <c:idx val="1"/>
          <c:order val="1"/>
          <c:tx>
            <c:strRef>
              <c:f>'TURNOS DE TRABAJO'!$E$11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'TURNOS DE TRABAJO'!$C$12:$C$15</c:f>
              <c:strCache>
                <c:ptCount val="4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  <c:pt idx="3">
                  <c:v>Partido</c:v>
                </c:pt>
              </c:strCache>
            </c:strRef>
          </c:cat>
          <c:val>
            <c:numRef>
              <c:f>'TURNOS DE TRABAJO'!$E$12:$E$15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1-4636-BCB4-C97FEDE93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503192"/>
        <c:axId val="647499952"/>
      </c:barChart>
      <c:catAx>
        <c:axId val="64750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499952"/>
        <c:crosses val="autoZero"/>
        <c:auto val="1"/>
        <c:lblAlgn val="ctr"/>
        <c:lblOffset val="100"/>
        <c:noMultiLvlLbl val="0"/>
      </c:catAx>
      <c:valAx>
        <c:axId val="6474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50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HIJOS!$D$10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HIJOS!$C$11:$C$14</c:f>
              <c:strCache>
                <c:ptCount val="4"/>
                <c:pt idx="0">
                  <c:v>Ninguno</c:v>
                </c:pt>
                <c:pt idx="1">
                  <c:v>1 hijo/a</c:v>
                </c:pt>
                <c:pt idx="2">
                  <c:v>2 hijos/as</c:v>
                </c:pt>
                <c:pt idx="3">
                  <c:v>3 o más hijos/as</c:v>
                </c:pt>
              </c:strCache>
            </c:strRef>
          </c:cat>
          <c:val>
            <c:numRef>
              <c:f>HIJOS!$D$11:$D$14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A-49D4-BD28-9B80A913A6BD}"/>
            </c:ext>
          </c:extLst>
        </c:ser>
        <c:ser>
          <c:idx val="1"/>
          <c:order val="1"/>
          <c:tx>
            <c:strRef>
              <c:f>HIJOS!$E$10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HIJOS!$C$11:$C$14</c:f>
              <c:strCache>
                <c:ptCount val="4"/>
                <c:pt idx="0">
                  <c:v>Ninguno</c:v>
                </c:pt>
                <c:pt idx="1">
                  <c:v>1 hijo/a</c:v>
                </c:pt>
                <c:pt idx="2">
                  <c:v>2 hijos/as</c:v>
                </c:pt>
                <c:pt idx="3">
                  <c:v>3 o más hijos/as</c:v>
                </c:pt>
              </c:strCache>
            </c:strRef>
          </c:cat>
          <c:val>
            <c:numRef>
              <c:f>HIJOS!$E$11:$E$14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A-49D4-BD28-9B80A913A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001920"/>
        <c:axId val="713996160"/>
      </c:barChart>
      <c:catAx>
        <c:axId val="7140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996160"/>
        <c:crosses val="autoZero"/>
        <c:auto val="1"/>
        <c:lblAlgn val="ctr"/>
        <c:lblOffset val="100"/>
        <c:noMultiLvlLbl val="0"/>
      </c:catAx>
      <c:valAx>
        <c:axId val="71399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40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BAJAS!$D$9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BAJAS!$C$10:$C$13</c:f>
              <c:strCache>
                <c:ptCount val="4"/>
                <c:pt idx="0">
                  <c:v>Enfermedad Común</c:v>
                </c:pt>
                <c:pt idx="1">
                  <c:v>Accidente Laboral</c:v>
                </c:pt>
                <c:pt idx="2">
                  <c:v>Riesgo embarazo</c:v>
                </c:pt>
                <c:pt idx="3">
                  <c:v>COVID</c:v>
                </c:pt>
              </c:strCache>
            </c:strRef>
          </c:cat>
          <c:val>
            <c:numRef>
              <c:f>BAJAS!$D$10:$D$13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B-402D-A545-9D99159C379E}"/>
            </c:ext>
          </c:extLst>
        </c:ser>
        <c:ser>
          <c:idx val="1"/>
          <c:order val="1"/>
          <c:tx>
            <c:strRef>
              <c:f>BAJAS!$E$9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BAJAS!$C$10:$C$13</c:f>
              <c:strCache>
                <c:ptCount val="4"/>
                <c:pt idx="0">
                  <c:v>Enfermedad Común</c:v>
                </c:pt>
                <c:pt idx="1">
                  <c:v>Accidente Laboral</c:v>
                </c:pt>
                <c:pt idx="2">
                  <c:v>Riesgo embarazo</c:v>
                </c:pt>
                <c:pt idx="3">
                  <c:v>COVID</c:v>
                </c:pt>
              </c:strCache>
            </c:strRef>
          </c:cat>
          <c:val>
            <c:numRef>
              <c:f>BAJAS!$E$10:$E$13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B-402D-A545-9D99159C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504632"/>
        <c:axId val="647499232"/>
      </c:barChart>
      <c:catAx>
        <c:axId val="64750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499232"/>
        <c:crosses val="autoZero"/>
        <c:auto val="1"/>
        <c:lblAlgn val="ctr"/>
        <c:lblOffset val="100"/>
        <c:noMultiLvlLbl val="0"/>
      </c:catAx>
      <c:valAx>
        <c:axId val="6474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50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BAJAS!$D$31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BAJAS!$C$32:$C$37</c:f>
              <c:strCache>
                <c:ptCount val="6"/>
                <c:pt idx="0">
                  <c:v>Despido</c:v>
                </c:pt>
                <c:pt idx="1">
                  <c:v>Fallecimiento</c:v>
                </c:pt>
                <c:pt idx="2">
                  <c:v>Finalización Contrato</c:v>
                </c:pt>
                <c:pt idx="3">
                  <c:v>Jubilación</c:v>
                </c:pt>
                <c:pt idx="4">
                  <c:v>No superación de periodo prueba</c:v>
                </c:pt>
                <c:pt idx="5">
                  <c:v>Baja Voluntaria</c:v>
                </c:pt>
              </c:strCache>
            </c:strRef>
          </c:cat>
          <c:val>
            <c:numRef>
              <c:f>BAJAS!$D$32:$D$37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5-4675-8472-08751AEF876C}"/>
            </c:ext>
          </c:extLst>
        </c:ser>
        <c:ser>
          <c:idx val="1"/>
          <c:order val="1"/>
          <c:tx>
            <c:strRef>
              <c:f>BAJAS!$E$31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BAJAS!$C$32:$C$37</c:f>
              <c:strCache>
                <c:ptCount val="6"/>
                <c:pt idx="0">
                  <c:v>Despido</c:v>
                </c:pt>
                <c:pt idx="1">
                  <c:v>Fallecimiento</c:v>
                </c:pt>
                <c:pt idx="2">
                  <c:v>Finalización Contrato</c:v>
                </c:pt>
                <c:pt idx="3">
                  <c:v>Jubilación</c:v>
                </c:pt>
                <c:pt idx="4">
                  <c:v>No superación de periodo prueba</c:v>
                </c:pt>
                <c:pt idx="5">
                  <c:v>Baja Voluntaria</c:v>
                </c:pt>
              </c:strCache>
            </c:strRef>
          </c:cat>
          <c:val>
            <c:numRef>
              <c:f>BAJAS!$E$32:$E$37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5-4675-8472-08751AEF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076640"/>
        <c:axId val="718078440"/>
      </c:barChart>
      <c:catAx>
        <c:axId val="7180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8078440"/>
        <c:crosses val="autoZero"/>
        <c:auto val="1"/>
        <c:lblAlgn val="ctr"/>
        <c:lblOffset val="100"/>
        <c:noMultiLvlLbl val="0"/>
      </c:catAx>
      <c:valAx>
        <c:axId val="71807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80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EXCEDENCIAS!$D$8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EXCEDENCIAS!$C$9:$C$11</c:f>
              <c:strCache>
                <c:ptCount val="3"/>
                <c:pt idx="0">
                  <c:v>Excedencias Voluntarias</c:v>
                </c:pt>
                <c:pt idx="1">
                  <c:v>Excedencias Cuidado Menores</c:v>
                </c:pt>
                <c:pt idx="2">
                  <c:v>Excedencias Cuidado de Personas Mayores</c:v>
                </c:pt>
              </c:strCache>
            </c:strRef>
          </c:cat>
          <c:val>
            <c:numRef>
              <c:f>EXCEDENCIAS!$D$9:$D$11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9-4A44-99F8-EB072B712B78}"/>
            </c:ext>
          </c:extLst>
        </c:ser>
        <c:ser>
          <c:idx val="1"/>
          <c:order val="1"/>
          <c:tx>
            <c:strRef>
              <c:f>EXCEDENCIAS!$E$8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EXCEDENCIAS!$C$9:$C$11</c:f>
              <c:strCache>
                <c:ptCount val="3"/>
                <c:pt idx="0">
                  <c:v>Excedencias Voluntarias</c:v>
                </c:pt>
                <c:pt idx="1">
                  <c:v>Excedencias Cuidado Menores</c:v>
                </c:pt>
                <c:pt idx="2">
                  <c:v>Excedencias Cuidado de Personas Mayores</c:v>
                </c:pt>
              </c:strCache>
            </c:strRef>
          </c:cat>
          <c:val>
            <c:numRef>
              <c:f>EXCEDENCIAS!$E$9:$E$11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9-4A44-99F8-EB072B712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696368"/>
        <c:axId val="646696728"/>
      </c:barChart>
      <c:catAx>
        <c:axId val="6466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6696728"/>
        <c:crosses val="autoZero"/>
        <c:auto val="1"/>
        <c:lblAlgn val="ctr"/>
        <c:lblOffset val="100"/>
        <c:noMultiLvlLbl val="0"/>
      </c:catAx>
      <c:valAx>
        <c:axId val="64669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66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'PERMISOS RETRIBUIDOS'!$C$8</c:f>
              <c:strCache>
                <c:ptCount val="1"/>
                <c:pt idx="0">
                  <c:v>Lactancia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'PERMISOS RETRIBUIDOS'!$D$7:$E$7</c:f>
              <c:strCache>
                <c:ptCount val="2"/>
                <c:pt idx="0">
                  <c:v>MUJERES</c:v>
                </c:pt>
                <c:pt idx="1">
                  <c:v>HOMBRES</c:v>
                </c:pt>
              </c:strCache>
            </c:strRef>
          </c:cat>
          <c:val>
            <c:numRef>
              <c:f>'PERMISOS RETRIBUIDOS'!$D$8:$E$8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E-4AE2-8EB4-F7847DC3EB10}"/>
            </c:ext>
          </c:extLst>
        </c:ser>
        <c:ser>
          <c:idx val="1"/>
          <c:order val="1"/>
          <c:tx>
            <c:strRef>
              <c:f>'PERMISOS RETRIBUIDOS'!$C$9</c:f>
              <c:strCache>
                <c:ptCount val="1"/>
                <c:pt idx="0">
                  <c:v>Nacimiento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'PERMISOS RETRIBUIDOS'!$D$7:$E$7</c:f>
              <c:strCache>
                <c:ptCount val="2"/>
                <c:pt idx="0">
                  <c:v>MUJERES</c:v>
                </c:pt>
                <c:pt idx="1">
                  <c:v>HOMBRES</c:v>
                </c:pt>
              </c:strCache>
            </c:strRef>
          </c:cat>
          <c:val>
            <c:numRef>
              <c:f>'PERMISOS RETRIBUIDOS'!$D$9:$E$9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E-4AE2-8EB4-F7847DC3E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88792"/>
        <c:axId val="647487712"/>
      </c:barChart>
      <c:catAx>
        <c:axId val="64748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487712"/>
        <c:crosses val="autoZero"/>
        <c:auto val="1"/>
        <c:lblAlgn val="ctr"/>
        <c:lblOffset val="100"/>
        <c:noMultiLvlLbl val="0"/>
      </c:catAx>
      <c:valAx>
        <c:axId val="6474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48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'GRUPO PROFESIONAL'!$D$16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'GRUPO PROFESIONAL'!$C$17:$C$27</c:f>
              <c:strCache>
                <c:ptCount val="11"/>
                <c:pt idx="0">
                  <c:v>Grupo Profesional 1</c:v>
                </c:pt>
                <c:pt idx="1">
                  <c:v>Grupo Profesional 2</c:v>
                </c:pt>
                <c:pt idx="2">
                  <c:v>Grupo Profesional 3</c:v>
                </c:pt>
                <c:pt idx="3">
                  <c:v>Grupo Profesional 4</c:v>
                </c:pt>
                <c:pt idx="4">
                  <c:v>Grupo Profesional 5</c:v>
                </c:pt>
                <c:pt idx="5">
                  <c:v>Grupo Profesional 6</c:v>
                </c:pt>
                <c:pt idx="6">
                  <c:v>Grupo Profesional 7</c:v>
                </c:pt>
                <c:pt idx="7">
                  <c:v>Grupo Profesional 8</c:v>
                </c:pt>
                <c:pt idx="8">
                  <c:v>Grupo Profesional 9</c:v>
                </c:pt>
                <c:pt idx="9">
                  <c:v>Grupo Profesional 10</c:v>
                </c:pt>
                <c:pt idx="10">
                  <c:v>Grupo Profesional 11</c:v>
                </c:pt>
              </c:strCache>
            </c:strRef>
          </c:cat>
          <c:val>
            <c:numRef>
              <c:f>'GRUPO PROFESIONAL'!$D$17:$D$27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4-4E67-B6CC-E08201DCA189}"/>
            </c:ext>
          </c:extLst>
        </c:ser>
        <c:ser>
          <c:idx val="1"/>
          <c:order val="1"/>
          <c:tx>
            <c:strRef>
              <c:f>'GRUPO PROFESIONAL'!$E$16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'GRUPO PROFESIONAL'!$C$17:$C$27</c:f>
              <c:strCache>
                <c:ptCount val="11"/>
                <c:pt idx="0">
                  <c:v>Grupo Profesional 1</c:v>
                </c:pt>
                <c:pt idx="1">
                  <c:v>Grupo Profesional 2</c:v>
                </c:pt>
                <c:pt idx="2">
                  <c:v>Grupo Profesional 3</c:v>
                </c:pt>
                <c:pt idx="3">
                  <c:v>Grupo Profesional 4</c:v>
                </c:pt>
                <c:pt idx="4">
                  <c:v>Grupo Profesional 5</c:v>
                </c:pt>
                <c:pt idx="5">
                  <c:v>Grupo Profesional 6</c:v>
                </c:pt>
                <c:pt idx="6">
                  <c:v>Grupo Profesional 7</c:v>
                </c:pt>
                <c:pt idx="7">
                  <c:v>Grupo Profesional 8</c:v>
                </c:pt>
                <c:pt idx="8">
                  <c:v>Grupo Profesional 9</c:v>
                </c:pt>
                <c:pt idx="9">
                  <c:v>Grupo Profesional 10</c:v>
                </c:pt>
                <c:pt idx="10">
                  <c:v>Grupo Profesional 11</c:v>
                </c:pt>
              </c:strCache>
            </c:strRef>
          </c:cat>
          <c:val>
            <c:numRef>
              <c:f>'GRUPO PROFESIONAL'!$E$17:$E$27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4-4E67-B6CC-E08201DCA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017504"/>
        <c:axId val="726022904"/>
      </c:barChart>
      <c:catAx>
        <c:axId val="7260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6022904"/>
        <c:crosses val="autoZero"/>
        <c:auto val="1"/>
        <c:lblAlgn val="ctr"/>
        <c:lblOffset val="100"/>
        <c:noMultiLvlLbl val="0"/>
      </c:catAx>
      <c:valAx>
        <c:axId val="72602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60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RETRIBUCIONES!$D$11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RETRIBUCIONES!$C$12:$C$16</c:f>
              <c:strCache>
                <c:ptCount val="5"/>
                <c:pt idx="0">
                  <c:v>&lt; 12.000€</c:v>
                </c:pt>
                <c:pt idx="1">
                  <c:v>12.001€ a 18.000€</c:v>
                </c:pt>
                <c:pt idx="2">
                  <c:v>18.001€ a 24.000€</c:v>
                </c:pt>
                <c:pt idx="3">
                  <c:v>24.001€ a 30.000€</c:v>
                </c:pt>
                <c:pt idx="4">
                  <c:v>Más de 30.001€</c:v>
                </c:pt>
              </c:strCache>
            </c:strRef>
          </c:cat>
          <c:val>
            <c:numRef>
              <c:f>RETRIBUCIONES!$D$12:$D$16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7-4DD8-AB1A-6D2CCF6DE174}"/>
            </c:ext>
          </c:extLst>
        </c:ser>
        <c:ser>
          <c:idx val="1"/>
          <c:order val="1"/>
          <c:tx>
            <c:strRef>
              <c:f>RETRIBUCIONES!$E$11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RETRIBUCIONES!$C$12:$C$16</c:f>
              <c:strCache>
                <c:ptCount val="5"/>
                <c:pt idx="0">
                  <c:v>&lt; 12.000€</c:v>
                </c:pt>
                <c:pt idx="1">
                  <c:v>12.001€ a 18.000€</c:v>
                </c:pt>
                <c:pt idx="2">
                  <c:v>18.001€ a 24.000€</c:v>
                </c:pt>
                <c:pt idx="3">
                  <c:v>24.001€ a 30.000€</c:v>
                </c:pt>
                <c:pt idx="4">
                  <c:v>Más de 30.001€</c:v>
                </c:pt>
              </c:strCache>
            </c:strRef>
          </c:cat>
          <c:val>
            <c:numRef>
              <c:f>RETRIBUCIONES!$E$12:$E$16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7-4DD8-AB1A-6D2CCF6DE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492032"/>
        <c:axId val="647493832"/>
      </c:barChart>
      <c:catAx>
        <c:axId val="64749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493832"/>
        <c:crosses val="autoZero"/>
        <c:auto val="1"/>
        <c:lblAlgn val="ctr"/>
        <c:lblOffset val="100"/>
        <c:noMultiLvlLbl val="0"/>
      </c:catAx>
      <c:valAx>
        <c:axId val="64749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49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'EDAD NNCC'!$D$15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'EDAD NNCC'!$C$16:$C$25</c:f>
              <c:strCache>
                <c:ptCount val="10"/>
                <c:pt idx="0">
                  <c:v>Menos de 20 años</c:v>
                </c:pt>
                <c:pt idx="1">
                  <c:v>20-24 años</c:v>
                </c:pt>
                <c:pt idx="2">
                  <c:v>25-29 años</c:v>
                </c:pt>
                <c:pt idx="3">
                  <c:v>30-34 años</c:v>
                </c:pt>
                <c:pt idx="4">
                  <c:v>35-39 años</c:v>
                </c:pt>
                <c:pt idx="5">
                  <c:v>40-44 años</c:v>
                </c:pt>
                <c:pt idx="6">
                  <c:v>45-49 años</c:v>
                </c:pt>
                <c:pt idx="7">
                  <c:v>50-54 años</c:v>
                </c:pt>
                <c:pt idx="8">
                  <c:v>55-59 años</c:v>
                </c:pt>
                <c:pt idx="9">
                  <c:v>Más 60 años</c:v>
                </c:pt>
              </c:strCache>
            </c:strRef>
          </c:cat>
          <c:val>
            <c:numRef>
              <c:f>'EDAD NNCC'!$D$16:$D$25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1-40BD-AC16-C02080D336DA}"/>
            </c:ext>
          </c:extLst>
        </c:ser>
        <c:ser>
          <c:idx val="1"/>
          <c:order val="1"/>
          <c:tx>
            <c:strRef>
              <c:f>'EDAD NNCC'!$E$15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'EDAD NNCC'!$C$16:$C$25</c:f>
              <c:strCache>
                <c:ptCount val="10"/>
                <c:pt idx="0">
                  <c:v>Menos de 20 años</c:v>
                </c:pt>
                <c:pt idx="1">
                  <c:v>20-24 años</c:v>
                </c:pt>
                <c:pt idx="2">
                  <c:v>25-29 años</c:v>
                </c:pt>
                <c:pt idx="3">
                  <c:v>30-34 años</c:v>
                </c:pt>
                <c:pt idx="4">
                  <c:v>35-39 años</c:v>
                </c:pt>
                <c:pt idx="5">
                  <c:v>40-44 años</c:v>
                </c:pt>
                <c:pt idx="6">
                  <c:v>45-49 años</c:v>
                </c:pt>
                <c:pt idx="7">
                  <c:v>50-54 años</c:v>
                </c:pt>
                <c:pt idx="8">
                  <c:v>55-59 años</c:v>
                </c:pt>
                <c:pt idx="9">
                  <c:v>Más 60 años</c:v>
                </c:pt>
              </c:strCache>
            </c:strRef>
          </c:cat>
          <c:val>
            <c:numRef>
              <c:f>'EDAD NNCC'!$E$16:$E$25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1-40BD-AC16-C02080D33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285080"/>
        <c:axId val="727285440"/>
      </c:barChart>
      <c:catAx>
        <c:axId val="72728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7285440"/>
        <c:crosses val="autoZero"/>
        <c:auto val="1"/>
        <c:lblAlgn val="ctr"/>
        <c:lblOffset val="100"/>
        <c:noMultiLvlLbl val="0"/>
      </c:catAx>
      <c:valAx>
        <c:axId val="72728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728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'MODALIDAD CONTRATO NNCC'!$D$11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'MODALIDAD CONTRATO NNCC'!$C$12:$C$16</c:f>
              <c:strCache>
                <c:ptCount val="5"/>
                <c:pt idx="0">
                  <c:v>Indefinido a jornada completa </c:v>
                </c:pt>
                <c:pt idx="1">
                  <c:v>Indefinido a jornada parcial</c:v>
                </c:pt>
                <c:pt idx="2">
                  <c:v>Fijo discontinuo</c:v>
                </c:pt>
                <c:pt idx="3">
                  <c:v>Duración determinada jornada completa</c:v>
                </c:pt>
                <c:pt idx="4">
                  <c:v>Duración determinada jornada parcial</c:v>
                </c:pt>
              </c:strCache>
            </c:strRef>
          </c:cat>
          <c:val>
            <c:numRef>
              <c:f>'MODALIDAD CONTRATO NNCC'!$D$12:$D$16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0-41D6-A620-34B906B5825E}"/>
            </c:ext>
          </c:extLst>
        </c:ser>
        <c:ser>
          <c:idx val="1"/>
          <c:order val="1"/>
          <c:tx>
            <c:strRef>
              <c:f>'MODALIDAD CONTRATO NNCC'!$E$11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'MODALIDAD CONTRATO NNCC'!$C$12:$C$16</c:f>
              <c:strCache>
                <c:ptCount val="5"/>
                <c:pt idx="0">
                  <c:v>Indefinido a jornada completa </c:v>
                </c:pt>
                <c:pt idx="1">
                  <c:v>Indefinido a jornada parcial</c:v>
                </c:pt>
                <c:pt idx="2">
                  <c:v>Fijo discontinuo</c:v>
                </c:pt>
                <c:pt idx="3">
                  <c:v>Duración determinada jornada completa</c:v>
                </c:pt>
                <c:pt idx="4">
                  <c:v>Duración determinada jornada parcial</c:v>
                </c:pt>
              </c:strCache>
            </c:strRef>
          </c:cat>
          <c:val>
            <c:numRef>
              <c:f>'MODALIDAD CONTRATO NNCC'!$E$12:$E$16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0-41D6-A620-34B906B58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992200"/>
        <c:axId val="713993280"/>
      </c:barChart>
      <c:catAx>
        <c:axId val="71399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993280"/>
        <c:crosses val="autoZero"/>
        <c:auto val="1"/>
        <c:lblAlgn val="ctr"/>
        <c:lblOffset val="100"/>
        <c:noMultiLvlLbl val="0"/>
      </c:catAx>
      <c:valAx>
        <c:axId val="7139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399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'PORCENTAJE JORNADA NNCC'!$D$9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'PORCENTAJE JORNADA NNCC'!$C$10:$C$13</c:f>
              <c:strCache>
                <c:ptCount val="4"/>
                <c:pt idx="0">
                  <c:v>Parcial               (0% - 38%)</c:v>
                </c:pt>
                <c:pt idx="1">
                  <c:v>Parcial                     (39% - 75%)</c:v>
                </c:pt>
                <c:pt idx="2">
                  <c:v>Parcial                    (76% - 99%)</c:v>
                </c:pt>
                <c:pt idx="3">
                  <c:v>Completa (100%)</c:v>
                </c:pt>
              </c:strCache>
            </c:strRef>
          </c:cat>
          <c:val>
            <c:numRef>
              <c:f>'PORCENTAJE JORNADA NNCC'!$D$10:$D$13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E-40DF-9E21-0389975C71DB}"/>
            </c:ext>
          </c:extLst>
        </c:ser>
        <c:ser>
          <c:idx val="1"/>
          <c:order val="1"/>
          <c:tx>
            <c:strRef>
              <c:f>'PORCENTAJE JORNADA NNCC'!$E$9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'PORCENTAJE JORNADA NNCC'!$C$10:$C$13</c:f>
              <c:strCache>
                <c:ptCount val="4"/>
                <c:pt idx="0">
                  <c:v>Parcial               (0% - 38%)</c:v>
                </c:pt>
                <c:pt idx="1">
                  <c:v>Parcial                     (39% - 75%)</c:v>
                </c:pt>
                <c:pt idx="2">
                  <c:v>Parcial                    (76% - 99%)</c:v>
                </c:pt>
                <c:pt idx="3">
                  <c:v>Completa (100%)</c:v>
                </c:pt>
              </c:strCache>
            </c:strRef>
          </c:cat>
          <c:val>
            <c:numRef>
              <c:f>'PORCENTAJE JORNADA NNCC'!$E$10:$E$13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E-40DF-9E21-0389975C7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712344"/>
        <c:axId val="656713064"/>
      </c:barChart>
      <c:catAx>
        <c:axId val="65671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6713064"/>
        <c:crosses val="autoZero"/>
        <c:auto val="1"/>
        <c:lblAlgn val="ctr"/>
        <c:lblOffset val="100"/>
        <c:noMultiLvlLbl val="0"/>
      </c:catAx>
      <c:valAx>
        <c:axId val="65671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6712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'EDAD PERSONAL SUBROGADO'!$D$17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'EDAD PERSONAL SUBROGADO'!$C$18:$C$29</c:f>
              <c:strCache>
                <c:ptCount val="12"/>
                <c:pt idx="0">
                  <c:v>Menos de 20 años</c:v>
                </c:pt>
                <c:pt idx="1">
                  <c:v>20-24 años</c:v>
                </c:pt>
                <c:pt idx="2">
                  <c:v>25-29 años</c:v>
                </c:pt>
                <c:pt idx="3">
                  <c:v>30-34 años</c:v>
                </c:pt>
                <c:pt idx="4">
                  <c:v>35-39 años</c:v>
                </c:pt>
                <c:pt idx="5">
                  <c:v>40-44 años</c:v>
                </c:pt>
                <c:pt idx="6">
                  <c:v>45-49 años</c:v>
                </c:pt>
                <c:pt idx="7">
                  <c:v>50-54 años</c:v>
                </c:pt>
                <c:pt idx="8">
                  <c:v>55-59 años</c:v>
                </c:pt>
                <c:pt idx="9">
                  <c:v>Más 60 años</c:v>
                </c:pt>
                <c:pt idx="10">
                  <c:v>61 años</c:v>
                </c:pt>
                <c:pt idx="11">
                  <c:v>62 años</c:v>
                </c:pt>
              </c:strCache>
            </c:strRef>
          </c:cat>
          <c:val>
            <c:numRef>
              <c:f>'EDAD PERSONAL SUBROGADO'!$D$18:$D$29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9-4C2C-BD43-F731D782D1D1}"/>
            </c:ext>
          </c:extLst>
        </c:ser>
        <c:ser>
          <c:idx val="1"/>
          <c:order val="1"/>
          <c:tx>
            <c:strRef>
              <c:f>'EDAD PERSONAL SUBROGADO'!$E$17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'EDAD PERSONAL SUBROGADO'!$C$18:$C$29</c:f>
              <c:strCache>
                <c:ptCount val="12"/>
                <c:pt idx="0">
                  <c:v>Menos de 20 años</c:v>
                </c:pt>
                <c:pt idx="1">
                  <c:v>20-24 años</c:v>
                </c:pt>
                <c:pt idx="2">
                  <c:v>25-29 años</c:v>
                </c:pt>
                <c:pt idx="3">
                  <c:v>30-34 años</c:v>
                </c:pt>
                <c:pt idx="4">
                  <c:v>35-39 años</c:v>
                </c:pt>
                <c:pt idx="5">
                  <c:v>40-44 años</c:v>
                </c:pt>
                <c:pt idx="6">
                  <c:v>45-49 años</c:v>
                </c:pt>
                <c:pt idx="7">
                  <c:v>50-54 años</c:v>
                </c:pt>
                <c:pt idx="8">
                  <c:v>55-59 años</c:v>
                </c:pt>
                <c:pt idx="9">
                  <c:v>Más 60 años</c:v>
                </c:pt>
                <c:pt idx="10">
                  <c:v>61 años</c:v>
                </c:pt>
                <c:pt idx="11">
                  <c:v>62 años</c:v>
                </c:pt>
              </c:strCache>
            </c:strRef>
          </c:cat>
          <c:val>
            <c:numRef>
              <c:f>'EDAD PERSONAL SUBROGADO'!$E$18:$E$29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9-4C2C-BD43-F731D782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837968"/>
        <c:axId val="589832208"/>
      </c:barChart>
      <c:catAx>
        <c:axId val="58983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9832208"/>
        <c:crosses val="autoZero"/>
        <c:auto val="1"/>
        <c:lblAlgn val="ctr"/>
        <c:lblOffset val="100"/>
        <c:noMultiLvlLbl val="0"/>
      </c:catAx>
      <c:valAx>
        <c:axId val="5898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983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'MODALIDAD CONTRATO PERSONAL SUB'!$D$10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'MODALIDAD CONTRATO PERSONAL SUB'!$C$11:$C$15</c:f>
              <c:strCache>
                <c:ptCount val="5"/>
                <c:pt idx="0">
                  <c:v>Indefinido a jornada completa </c:v>
                </c:pt>
                <c:pt idx="1">
                  <c:v>Indefinido a jornada parcial</c:v>
                </c:pt>
                <c:pt idx="2">
                  <c:v>Fijo discontinuo</c:v>
                </c:pt>
                <c:pt idx="3">
                  <c:v>Duración determinada jornada completa</c:v>
                </c:pt>
                <c:pt idx="4">
                  <c:v>Duración determinada jornada parcial</c:v>
                </c:pt>
              </c:strCache>
            </c:strRef>
          </c:cat>
          <c:val>
            <c:numRef>
              <c:f>'MODALIDAD CONTRATO PERSONAL SUB'!$D$11:$D$15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6-4411-BBBA-8291E2318864}"/>
            </c:ext>
          </c:extLst>
        </c:ser>
        <c:ser>
          <c:idx val="1"/>
          <c:order val="1"/>
          <c:tx>
            <c:strRef>
              <c:f>'MODALIDAD CONTRATO PERSONAL SUB'!$E$10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'MODALIDAD CONTRATO PERSONAL SUB'!$C$11:$C$15</c:f>
              <c:strCache>
                <c:ptCount val="5"/>
                <c:pt idx="0">
                  <c:v>Indefinido a jornada completa </c:v>
                </c:pt>
                <c:pt idx="1">
                  <c:v>Indefinido a jornada parcial</c:v>
                </c:pt>
                <c:pt idx="2">
                  <c:v>Fijo discontinuo</c:v>
                </c:pt>
                <c:pt idx="3">
                  <c:v>Duración determinada jornada completa</c:v>
                </c:pt>
                <c:pt idx="4">
                  <c:v>Duración determinada jornada parcial</c:v>
                </c:pt>
              </c:strCache>
            </c:strRef>
          </c:cat>
          <c:val>
            <c:numRef>
              <c:f>'MODALIDAD CONTRATO PERSONAL SUB'!$E$11:$E$15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6-4411-BBBA-8291E2318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094600"/>
        <c:axId val="714096040"/>
      </c:barChart>
      <c:catAx>
        <c:axId val="71409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4096040"/>
        <c:crosses val="autoZero"/>
        <c:auto val="1"/>
        <c:lblAlgn val="ctr"/>
        <c:lblOffset val="100"/>
        <c:noMultiLvlLbl val="0"/>
      </c:catAx>
      <c:valAx>
        <c:axId val="71409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409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'PORCENTAJE JORNADA PERSONAL SUB'!$E$9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'PORCENTAJE JORNADA PERSONAL SUB'!$D$10:$D$13</c:f>
              <c:strCache>
                <c:ptCount val="4"/>
                <c:pt idx="0">
                  <c:v>Parcial               (0% - 38%)</c:v>
                </c:pt>
                <c:pt idx="1">
                  <c:v>Parcial                     (39% - 75%)</c:v>
                </c:pt>
                <c:pt idx="2">
                  <c:v>Parcial                    (76% - 99%)</c:v>
                </c:pt>
                <c:pt idx="3">
                  <c:v>Completa (100%)</c:v>
                </c:pt>
              </c:strCache>
            </c:strRef>
          </c:cat>
          <c:val>
            <c:numRef>
              <c:f>'PORCENTAJE JORNADA PERSONAL SUB'!$E$10:$E$13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E-418C-83C5-8D26D80CF5DA}"/>
            </c:ext>
          </c:extLst>
        </c:ser>
        <c:ser>
          <c:idx val="1"/>
          <c:order val="1"/>
          <c:tx>
            <c:strRef>
              <c:f>'PORCENTAJE JORNADA PERSONAL SUB'!$F$9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'PORCENTAJE JORNADA PERSONAL SUB'!$D$10:$D$13</c:f>
              <c:strCache>
                <c:ptCount val="4"/>
                <c:pt idx="0">
                  <c:v>Parcial               (0% - 38%)</c:v>
                </c:pt>
                <c:pt idx="1">
                  <c:v>Parcial                     (39% - 75%)</c:v>
                </c:pt>
                <c:pt idx="2">
                  <c:v>Parcial                    (76% - 99%)</c:v>
                </c:pt>
                <c:pt idx="3">
                  <c:v>Completa (100%)</c:v>
                </c:pt>
              </c:strCache>
            </c:strRef>
          </c:cat>
          <c:val>
            <c:numRef>
              <c:f>'PORCENTAJE JORNADA PERSONAL SUB'!$F$10:$F$13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E-418C-83C5-8D26D80CF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643600"/>
        <c:axId val="644644320"/>
      </c:barChart>
      <c:catAx>
        <c:axId val="64464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644320"/>
        <c:crosses val="autoZero"/>
        <c:auto val="1"/>
        <c:lblAlgn val="ctr"/>
        <c:lblOffset val="100"/>
        <c:noMultiLvlLbl val="0"/>
      </c:catAx>
      <c:valAx>
        <c:axId val="6446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464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'PUESTOS DIRECTIVOS PERSONAL SUB'!$D$15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'PUESTOS DIRECTIVOS PERSONAL SUB'!$C$16:$C$25</c:f>
              <c:numCache>
                <c:formatCode>General</c:formatCode>
                <c:ptCount val="10"/>
              </c:numCache>
            </c:numRef>
          </c:cat>
          <c:val>
            <c:numRef>
              <c:f>'PUESTOS DIRECTIVOS PERSONAL SUB'!$D$16:$D$25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F-4E3B-AC28-FF2B5B31C655}"/>
            </c:ext>
          </c:extLst>
        </c:ser>
        <c:ser>
          <c:idx val="1"/>
          <c:order val="1"/>
          <c:tx>
            <c:strRef>
              <c:f>'PUESTOS DIRECTIVOS PERSONAL SUB'!$E$15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'PUESTOS DIRECTIVOS PERSONAL SUB'!$C$16:$C$25</c:f>
              <c:numCache>
                <c:formatCode>General</c:formatCode>
                <c:ptCount val="10"/>
              </c:numCache>
            </c:numRef>
          </c:cat>
          <c:val>
            <c:numRef>
              <c:f>'PUESTOS DIRECTIVOS PERSONAL SUB'!$E$16:$E$25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F-4E3B-AC28-FF2B5B31C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107872"/>
        <c:axId val="714095320"/>
      </c:barChart>
      <c:catAx>
        <c:axId val="72110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4095320"/>
        <c:crosses val="autoZero"/>
        <c:auto val="1"/>
        <c:lblAlgn val="ctr"/>
        <c:lblOffset val="100"/>
        <c:noMultiLvlLbl val="0"/>
      </c:catAx>
      <c:valAx>
        <c:axId val="71409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11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'PUESTOS PROF. PERSONAL SUBROGAD'!$D$15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'PUESTOS PROF. PERSONAL SUBROGAD'!$C$16:$C$23</c:f>
              <c:numCache>
                <c:formatCode>General</c:formatCode>
                <c:ptCount val="8"/>
              </c:numCache>
            </c:numRef>
          </c:cat>
          <c:val>
            <c:numRef>
              <c:f>'PUESTOS PROF. PERSONAL SUBROGAD'!$D$16:$D$23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C4C6-4705-B587-80817F72BE2F}"/>
            </c:ext>
          </c:extLst>
        </c:ser>
        <c:ser>
          <c:idx val="1"/>
          <c:order val="1"/>
          <c:tx>
            <c:strRef>
              <c:f>'PUESTOS PROF. PERSONAL SUBROGAD'!$E$15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'PUESTOS PROF. PERSONAL SUBROGAD'!$C$16:$C$23</c:f>
              <c:numCache>
                <c:formatCode>General</c:formatCode>
                <c:ptCount val="8"/>
              </c:numCache>
            </c:numRef>
          </c:cat>
          <c:val>
            <c:numRef>
              <c:f>'PUESTOS PROF. PERSONAL SUBROGAD'!$E$16:$E$23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4C6-4705-B587-80817F72B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901080"/>
        <c:axId val="650901800"/>
      </c:barChart>
      <c:catAx>
        <c:axId val="65090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01800"/>
        <c:crosses val="autoZero"/>
        <c:auto val="1"/>
        <c:lblAlgn val="ctr"/>
        <c:lblOffset val="100"/>
        <c:noMultiLvlLbl val="0"/>
      </c:catAx>
      <c:valAx>
        <c:axId val="65090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090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8</xdr:row>
      <xdr:rowOff>185737</xdr:rowOff>
    </xdr:from>
    <xdr:to>
      <xdr:col>13</xdr:col>
      <xdr:colOff>152400</xdr:colOff>
      <xdr:row>23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CBD3C7-3186-2C02-B037-2ED0C5EA3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15</xdr:row>
      <xdr:rowOff>100012</xdr:rowOff>
    </xdr:from>
    <xdr:to>
      <xdr:col>12</xdr:col>
      <xdr:colOff>352425</xdr:colOff>
      <xdr:row>26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BBFE33-7DC1-3A14-03BC-94BA3D83E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11</xdr:row>
      <xdr:rowOff>52387</xdr:rowOff>
    </xdr:from>
    <xdr:to>
      <xdr:col>12</xdr:col>
      <xdr:colOff>38100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48CE10-FF1D-29C1-BE5B-331BB0008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10</xdr:row>
      <xdr:rowOff>61912</xdr:rowOff>
    </xdr:from>
    <xdr:to>
      <xdr:col>12</xdr:col>
      <xdr:colOff>28575</xdr:colOff>
      <xdr:row>18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B0BE11-C733-393F-0B54-25906DBEB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8</xdr:row>
      <xdr:rowOff>52387</xdr:rowOff>
    </xdr:from>
    <xdr:to>
      <xdr:col>12</xdr:col>
      <xdr:colOff>28575</xdr:colOff>
      <xdr:row>19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D55826-C1E0-1CB2-7978-746343D3B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8</xdr:row>
      <xdr:rowOff>185737</xdr:rowOff>
    </xdr:from>
    <xdr:to>
      <xdr:col>12</xdr:col>
      <xdr:colOff>19050</xdr:colOff>
      <xdr:row>23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DCC81-8B21-C8BE-197D-016309753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7</xdr:row>
      <xdr:rowOff>185737</xdr:rowOff>
    </xdr:from>
    <xdr:to>
      <xdr:col>12</xdr:col>
      <xdr:colOff>9525</xdr:colOff>
      <xdr:row>21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50037D-C4E6-7F07-934E-F39C30FAA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</xdr:colOff>
      <xdr:row>1</xdr:row>
      <xdr:rowOff>4762</xdr:rowOff>
    </xdr:from>
    <xdr:to>
      <xdr:col>21</xdr:col>
      <xdr:colOff>19050</xdr:colOff>
      <xdr:row>10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11CC40-75D3-D6A3-411F-4E43BBADA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27</xdr:row>
      <xdr:rowOff>147637</xdr:rowOff>
    </xdr:from>
    <xdr:to>
      <xdr:col>13</xdr:col>
      <xdr:colOff>9525</xdr:colOff>
      <xdr:row>38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341400-D0CE-2F10-55BA-79568E7C5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752475</xdr:colOff>
      <xdr:row>7</xdr:row>
      <xdr:rowOff>14287</xdr:rowOff>
    </xdr:from>
    <xdr:to>
      <xdr:col>11</xdr:col>
      <xdr:colOff>752475</xdr:colOff>
      <xdr:row>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32718D-47FD-0292-0460-2E97B384A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166687</xdr:rowOff>
    </xdr:from>
    <xdr:to>
      <xdr:col>12</xdr:col>
      <xdr:colOff>0</xdr:colOff>
      <xdr:row>20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252356-C7CE-AC19-CF82-129359906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752475</xdr:colOff>
      <xdr:row>14</xdr:row>
      <xdr:rowOff>166687</xdr:rowOff>
    </xdr:from>
    <xdr:to>
      <xdr:col>12</xdr:col>
      <xdr:colOff>752475</xdr:colOff>
      <xdr:row>23</xdr:row>
      <xdr:rowOff>261937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AD423C-784A-3F16-AF66-879346641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10</xdr:row>
      <xdr:rowOff>4762</xdr:rowOff>
    </xdr:from>
    <xdr:to>
      <xdr:col>12</xdr:col>
      <xdr:colOff>9525</xdr:colOff>
      <xdr:row>21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3D806F-47E5-144D-5728-DBA3CF7BE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14</xdr:row>
      <xdr:rowOff>166687</xdr:rowOff>
    </xdr:from>
    <xdr:to>
      <xdr:col>12</xdr:col>
      <xdr:colOff>571500</xdr:colOff>
      <xdr:row>27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662CE0-606A-33AA-BFA2-8122D7169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14287</xdr:rowOff>
    </xdr:from>
    <xdr:to>
      <xdr:col>13</xdr:col>
      <xdr:colOff>9525</xdr:colOff>
      <xdr:row>14</xdr:row>
      <xdr:rowOff>404812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AB805D-CD2A-2CF7-09C8-2A1716DFF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7</xdr:row>
      <xdr:rowOff>185737</xdr:rowOff>
    </xdr:from>
    <xdr:to>
      <xdr:col>13</xdr:col>
      <xdr:colOff>9525</xdr:colOff>
      <xdr:row>19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0EB399-3F57-5FB6-BE5C-914A8E995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16</xdr:row>
      <xdr:rowOff>100012</xdr:rowOff>
    </xdr:from>
    <xdr:to>
      <xdr:col>12</xdr:col>
      <xdr:colOff>47625</xdr:colOff>
      <xdr:row>30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D474F0-39B4-DF60-8493-5319AE62A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695325</xdr:colOff>
      <xdr:row>8</xdr:row>
      <xdr:rowOff>185737</xdr:rowOff>
    </xdr:from>
    <xdr:to>
      <xdr:col>11</xdr:col>
      <xdr:colOff>695325</xdr:colOff>
      <xdr:row>13</xdr:row>
      <xdr:rowOff>576262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59DF10-94DB-24F8-6978-DF59754FB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8</xdr:row>
      <xdr:rowOff>14287</xdr:rowOff>
    </xdr:from>
    <xdr:to>
      <xdr:col>12</xdr:col>
      <xdr:colOff>742950</xdr:colOff>
      <xdr:row>19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CDAD23-3F74-9904-B7F6-4AC91A36D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13</xdr:row>
      <xdr:rowOff>176212</xdr:rowOff>
    </xdr:from>
    <xdr:to>
      <xdr:col>12</xdr:col>
      <xdr:colOff>28575</xdr:colOff>
      <xdr:row>28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0E2C57-0C9B-07B6-6054-8E255F321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14</xdr:row>
      <xdr:rowOff>185737</xdr:rowOff>
    </xdr:from>
    <xdr:to>
      <xdr:col>12</xdr:col>
      <xdr:colOff>180975</xdr:colOff>
      <xdr:row>29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1F23F8-DCD7-C6A1-55B0-56D95A0ED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workbookViewId="0">
      <selection activeCell="I3" sqref="I3"/>
    </sheetView>
  </sheetViews>
  <sheetFormatPr baseColWidth="10" defaultRowHeight="15" x14ac:dyDescent="0.25"/>
  <sheetData>
    <row r="2" spans="2:9" ht="42.75" x14ac:dyDescent="0.25">
      <c r="B2" s="22" t="s">
        <v>89</v>
      </c>
      <c r="C2" s="22" t="s">
        <v>12</v>
      </c>
      <c r="D2" s="22" t="s">
        <v>13</v>
      </c>
      <c r="E2" s="22" t="s">
        <v>16</v>
      </c>
      <c r="F2" s="22" t="s">
        <v>13</v>
      </c>
      <c r="G2" s="22" t="s">
        <v>21</v>
      </c>
      <c r="H2" s="22" t="s">
        <v>19</v>
      </c>
      <c r="I2" s="22" t="s">
        <v>20</v>
      </c>
    </row>
    <row r="3" spans="2:9" x14ac:dyDescent="0.25">
      <c r="B3" s="2" t="s">
        <v>90</v>
      </c>
      <c r="C3" s="2"/>
      <c r="D3" s="2" t="e">
        <f>C3/G3*100</f>
        <v>#DIV/0!</v>
      </c>
      <c r="E3" s="2"/>
      <c r="F3" s="2" t="e">
        <f>E3/G3*100</f>
        <v>#DIV/0!</v>
      </c>
      <c r="G3" s="2">
        <f>C3+E3</f>
        <v>0</v>
      </c>
      <c r="H3" s="2" t="e">
        <f>D3-F3</f>
        <v>#DIV/0!</v>
      </c>
      <c r="I3" s="2" t="e">
        <f>C3/E3</f>
        <v>#DIV/0!</v>
      </c>
    </row>
    <row r="4" spans="2:9" x14ac:dyDescent="0.25">
      <c r="B4" s="2"/>
      <c r="C4" s="2"/>
      <c r="D4" s="2"/>
      <c r="E4" s="2"/>
      <c r="F4" s="2"/>
      <c r="G4" s="2"/>
      <c r="H4" s="2"/>
      <c r="I4" s="2"/>
    </row>
    <row r="7" spans="2:9" x14ac:dyDescent="0.25">
      <c r="C7" s="33" t="s">
        <v>12</v>
      </c>
      <c r="D7" s="33" t="s">
        <v>16</v>
      </c>
    </row>
    <row r="8" spans="2:9" x14ac:dyDescent="0.25">
      <c r="B8" s="2" t="s">
        <v>90</v>
      </c>
      <c r="C8" s="2"/>
      <c r="D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6"/>
  <sheetViews>
    <sheetView workbookViewId="0">
      <selection activeCell="B12" sqref="B12"/>
    </sheetView>
  </sheetViews>
  <sheetFormatPr baseColWidth="10" defaultRowHeight="15" x14ac:dyDescent="0.25"/>
  <cols>
    <col min="1" max="1" width="4.5703125" customWidth="1"/>
    <col min="2" max="2" width="17" bestFit="1" customWidth="1"/>
    <col min="3" max="3" width="16.7109375" customWidth="1"/>
    <col min="14" max="14" width="14.140625" customWidth="1"/>
  </cols>
  <sheetData>
    <row r="2" spans="2:14" s="1" customFormat="1" ht="42.75" x14ac:dyDescent="0.25">
      <c r="B2" s="22" t="s">
        <v>30</v>
      </c>
      <c r="C2" s="22" t="s">
        <v>12</v>
      </c>
      <c r="D2" s="22" t="s">
        <v>13</v>
      </c>
      <c r="E2" s="22" t="s">
        <v>14</v>
      </c>
      <c r="F2" s="22" t="s">
        <v>15</v>
      </c>
      <c r="G2" s="22" t="s">
        <v>16</v>
      </c>
      <c r="H2" s="22" t="s">
        <v>13</v>
      </c>
      <c r="I2" s="22" t="s">
        <v>14</v>
      </c>
      <c r="J2" s="22" t="s">
        <v>17</v>
      </c>
      <c r="K2" s="22" t="s">
        <v>18</v>
      </c>
      <c r="L2" s="22" t="s">
        <v>21</v>
      </c>
      <c r="M2" s="22" t="s">
        <v>19</v>
      </c>
      <c r="N2" s="22" t="s">
        <v>20</v>
      </c>
    </row>
    <row r="3" spans="2:14" x14ac:dyDescent="0.25">
      <c r="B3" s="16" t="s">
        <v>0</v>
      </c>
      <c r="C3" s="17"/>
      <c r="D3" s="18" t="e">
        <f>C3/L3*100</f>
        <v>#DIV/0!</v>
      </c>
      <c r="E3" s="18" t="e">
        <f>C3/$C$13*100</f>
        <v>#DIV/0!</v>
      </c>
      <c r="F3" s="18" t="e">
        <f>C3/$L$13*100</f>
        <v>#DIV/0!</v>
      </c>
      <c r="G3" s="17"/>
      <c r="H3" s="18" t="e">
        <f>G3/L3*100</f>
        <v>#DIV/0!</v>
      </c>
      <c r="I3" s="18" t="e">
        <f>G3/$G$13*100</f>
        <v>#DIV/0!</v>
      </c>
      <c r="J3" s="18" t="e">
        <f>G3/$L$13*100</f>
        <v>#DIV/0!</v>
      </c>
      <c r="K3" s="18" t="e">
        <f>F3+J3</f>
        <v>#DIV/0!</v>
      </c>
      <c r="L3" s="19">
        <f>C3+G3</f>
        <v>0</v>
      </c>
      <c r="M3" s="18" t="e">
        <f>H3-D3</f>
        <v>#DIV/0!</v>
      </c>
      <c r="N3" s="19" t="e">
        <f>C3/G3</f>
        <v>#DIV/0!</v>
      </c>
    </row>
    <row r="4" spans="2:14" x14ac:dyDescent="0.25">
      <c r="B4" s="16" t="s">
        <v>1</v>
      </c>
      <c r="C4" s="17"/>
      <c r="D4" s="18" t="e">
        <f t="shared" ref="D4:D11" si="0">C4/L4*100</f>
        <v>#DIV/0!</v>
      </c>
      <c r="E4" s="18" t="e">
        <f>C4/$C$13*100</f>
        <v>#DIV/0!</v>
      </c>
      <c r="F4" s="18" t="e">
        <f>C4/$L$13*100</f>
        <v>#DIV/0!</v>
      </c>
      <c r="G4" s="17"/>
      <c r="H4" s="18" t="e">
        <f t="shared" ref="H4:H11" si="1">G4/L4*100</f>
        <v>#DIV/0!</v>
      </c>
      <c r="I4" s="18" t="e">
        <f>G4/$G$13*100</f>
        <v>#DIV/0!</v>
      </c>
      <c r="J4" s="18" t="e">
        <f>G4/$L$13*100</f>
        <v>#DIV/0!</v>
      </c>
      <c r="K4" s="18" t="e">
        <f t="shared" ref="K4:K11" si="2">F4+J4</f>
        <v>#DIV/0!</v>
      </c>
      <c r="L4" s="19">
        <f t="shared" ref="L4:L11" si="3">C4+G4</f>
        <v>0</v>
      </c>
      <c r="M4" s="18" t="e">
        <f t="shared" ref="M4:M11" si="4">H4-D4</f>
        <v>#DIV/0!</v>
      </c>
      <c r="N4" s="19" t="e">
        <f t="shared" ref="N4:N11" si="5">C4/G4</f>
        <v>#DIV/0!</v>
      </c>
    </row>
    <row r="5" spans="2:14" x14ac:dyDescent="0.25">
      <c r="B5" s="16" t="s">
        <v>2</v>
      </c>
      <c r="C5" s="17"/>
      <c r="D5" s="18" t="e">
        <f t="shared" si="0"/>
        <v>#DIV/0!</v>
      </c>
      <c r="E5" s="18" t="e">
        <f>C5/$C$13*100</f>
        <v>#DIV/0!</v>
      </c>
      <c r="F5" s="18" t="e">
        <f>C5/$L$13*100</f>
        <v>#DIV/0!</v>
      </c>
      <c r="G5" s="17"/>
      <c r="H5" s="18" t="e">
        <f t="shared" si="1"/>
        <v>#DIV/0!</v>
      </c>
      <c r="I5" s="18" t="e">
        <f>G5/$G$13*100</f>
        <v>#DIV/0!</v>
      </c>
      <c r="J5" s="18" t="e">
        <f>G5/$L$13*100</f>
        <v>#DIV/0!</v>
      </c>
      <c r="K5" s="18" t="e">
        <f t="shared" si="2"/>
        <v>#DIV/0!</v>
      </c>
      <c r="L5" s="19">
        <f t="shared" si="3"/>
        <v>0</v>
      </c>
      <c r="M5" s="18" t="e">
        <f t="shared" si="4"/>
        <v>#DIV/0!</v>
      </c>
      <c r="N5" s="19" t="e">
        <f t="shared" si="5"/>
        <v>#DIV/0!</v>
      </c>
    </row>
    <row r="6" spans="2:14" x14ac:dyDescent="0.25">
      <c r="B6" s="16" t="s">
        <v>3</v>
      </c>
      <c r="C6" s="17"/>
      <c r="D6" s="18" t="e">
        <f t="shared" si="0"/>
        <v>#DIV/0!</v>
      </c>
      <c r="E6" s="18" t="e">
        <f>C6/$C$13*100</f>
        <v>#DIV/0!</v>
      </c>
      <c r="F6" s="18" t="e">
        <f>C6/$L$13*100</f>
        <v>#DIV/0!</v>
      </c>
      <c r="G6" s="17"/>
      <c r="H6" s="18" t="e">
        <f t="shared" si="1"/>
        <v>#DIV/0!</v>
      </c>
      <c r="I6" s="18" t="e">
        <f>G6/$G$13*100</f>
        <v>#DIV/0!</v>
      </c>
      <c r="J6" s="18" t="e">
        <f>G6/$L$13*100</f>
        <v>#DIV/0!</v>
      </c>
      <c r="K6" s="18" t="e">
        <f t="shared" si="2"/>
        <v>#DIV/0!</v>
      </c>
      <c r="L6" s="19">
        <f t="shared" si="3"/>
        <v>0</v>
      </c>
      <c r="M6" s="18" t="e">
        <f t="shared" si="4"/>
        <v>#DIV/0!</v>
      </c>
      <c r="N6" s="19" t="e">
        <f t="shared" si="5"/>
        <v>#DIV/0!</v>
      </c>
    </row>
    <row r="7" spans="2:14" x14ac:dyDescent="0.25">
      <c r="B7" s="16" t="s">
        <v>4</v>
      </c>
      <c r="C7" s="17"/>
      <c r="D7" s="18" t="e">
        <f t="shared" si="0"/>
        <v>#DIV/0!</v>
      </c>
      <c r="E7" s="18" t="e">
        <f>C7/$C$13*100</f>
        <v>#DIV/0!</v>
      </c>
      <c r="F7" s="18" t="e">
        <f>C7/$L$13*100</f>
        <v>#DIV/0!</v>
      </c>
      <c r="G7" s="17"/>
      <c r="H7" s="18" t="e">
        <f t="shared" si="1"/>
        <v>#DIV/0!</v>
      </c>
      <c r="I7" s="18" t="e">
        <f>G7/$G$13*100</f>
        <v>#DIV/0!</v>
      </c>
      <c r="J7" s="18" t="e">
        <f>G7/$L$13*100</f>
        <v>#DIV/0!</v>
      </c>
      <c r="K7" s="18" t="e">
        <f t="shared" si="2"/>
        <v>#DIV/0!</v>
      </c>
      <c r="L7" s="19">
        <f t="shared" si="3"/>
        <v>0</v>
      </c>
      <c r="M7" s="18" t="e">
        <f t="shared" si="4"/>
        <v>#DIV/0!</v>
      </c>
      <c r="N7" s="19" t="e">
        <f t="shared" si="5"/>
        <v>#DIV/0!</v>
      </c>
    </row>
    <row r="8" spans="2:14" x14ac:dyDescent="0.25">
      <c r="B8" s="16" t="s">
        <v>5</v>
      </c>
      <c r="C8" s="17"/>
      <c r="D8" s="18" t="e">
        <f t="shared" si="0"/>
        <v>#DIV/0!</v>
      </c>
      <c r="E8" s="18" t="e">
        <f>C8/$C$13*100</f>
        <v>#DIV/0!</v>
      </c>
      <c r="F8" s="18" t="e">
        <f>C8/$L$13*100</f>
        <v>#DIV/0!</v>
      </c>
      <c r="G8" s="17"/>
      <c r="H8" s="18" t="e">
        <f t="shared" si="1"/>
        <v>#DIV/0!</v>
      </c>
      <c r="I8" s="18" t="e">
        <f>G8/$G$13*100</f>
        <v>#DIV/0!</v>
      </c>
      <c r="J8" s="18" t="e">
        <f>G8/$L$13*100</f>
        <v>#DIV/0!</v>
      </c>
      <c r="K8" s="18" t="e">
        <f t="shared" si="2"/>
        <v>#DIV/0!</v>
      </c>
      <c r="L8" s="19">
        <f t="shared" si="3"/>
        <v>0</v>
      </c>
      <c r="M8" s="18" t="e">
        <f t="shared" si="4"/>
        <v>#DIV/0!</v>
      </c>
      <c r="N8" s="19" t="e">
        <f t="shared" si="5"/>
        <v>#DIV/0!</v>
      </c>
    </row>
    <row r="9" spans="2:14" x14ac:dyDescent="0.25">
      <c r="B9" s="16" t="s">
        <v>6</v>
      </c>
      <c r="C9" s="17"/>
      <c r="D9" s="18" t="e">
        <f t="shared" si="0"/>
        <v>#DIV/0!</v>
      </c>
      <c r="E9" s="18" t="e">
        <f>C9/$C$13*100</f>
        <v>#DIV/0!</v>
      </c>
      <c r="F9" s="18" t="e">
        <f>C9/$L$13*100</f>
        <v>#DIV/0!</v>
      </c>
      <c r="G9" s="17"/>
      <c r="H9" s="18" t="e">
        <f t="shared" si="1"/>
        <v>#DIV/0!</v>
      </c>
      <c r="I9" s="18" t="e">
        <f>G9/$G$13*100</f>
        <v>#DIV/0!</v>
      </c>
      <c r="J9" s="18" t="e">
        <f>G9/$L$13*100</f>
        <v>#DIV/0!</v>
      </c>
      <c r="K9" s="18" t="e">
        <f t="shared" si="2"/>
        <v>#DIV/0!</v>
      </c>
      <c r="L9" s="19">
        <f t="shared" si="3"/>
        <v>0</v>
      </c>
      <c r="M9" s="18" t="e">
        <f t="shared" si="4"/>
        <v>#DIV/0!</v>
      </c>
      <c r="N9" s="19" t="e">
        <f t="shared" si="5"/>
        <v>#DIV/0!</v>
      </c>
    </row>
    <row r="10" spans="2:14" x14ac:dyDescent="0.25">
      <c r="B10" s="16" t="s">
        <v>7</v>
      </c>
      <c r="C10" s="17"/>
      <c r="D10" s="18" t="e">
        <f t="shared" si="0"/>
        <v>#DIV/0!</v>
      </c>
      <c r="E10" s="18" t="e">
        <f>C10/$C$13*100</f>
        <v>#DIV/0!</v>
      </c>
      <c r="F10" s="18" t="e">
        <f>C10/$L$13*100</f>
        <v>#DIV/0!</v>
      </c>
      <c r="G10" s="17"/>
      <c r="H10" s="18" t="e">
        <f t="shared" si="1"/>
        <v>#DIV/0!</v>
      </c>
      <c r="I10" s="18" t="e">
        <f>G10/$G$13*100</f>
        <v>#DIV/0!</v>
      </c>
      <c r="J10" s="18" t="e">
        <f>G10/$L$13*100</f>
        <v>#DIV/0!</v>
      </c>
      <c r="K10" s="18" t="e">
        <f t="shared" si="2"/>
        <v>#DIV/0!</v>
      </c>
      <c r="L10" s="19">
        <f t="shared" si="3"/>
        <v>0</v>
      </c>
      <c r="M10" s="18" t="e">
        <f t="shared" si="4"/>
        <v>#DIV/0!</v>
      </c>
      <c r="N10" s="19" t="e">
        <f t="shared" si="5"/>
        <v>#DIV/0!</v>
      </c>
    </row>
    <row r="11" spans="2:14" x14ac:dyDescent="0.25">
      <c r="B11" s="16" t="s">
        <v>8</v>
      </c>
      <c r="C11" s="17"/>
      <c r="D11" s="18" t="e">
        <f t="shared" si="0"/>
        <v>#DIV/0!</v>
      </c>
      <c r="E11" s="18" t="e">
        <f>C11/$C$13*100</f>
        <v>#DIV/0!</v>
      </c>
      <c r="F11" s="18" t="e">
        <f>C11/$L$13*100</f>
        <v>#DIV/0!</v>
      </c>
      <c r="G11" s="17"/>
      <c r="H11" s="18" t="e">
        <f t="shared" si="1"/>
        <v>#DIV/0!</v>
      </c>
      <c r="I11" s="18" t="e">
        <f>G11/$G$13*100</f>
        <v>#DIV/0!</v>
      </c>
      <c r="J11" s="18" t="e">
        <f>G11/$L$13*100</f>
        <v>#DIV/0!</v>
      </c>
      <c r="K11" s="18" t="e">
        <f t="shared" si="2"/>
        <v>#DIV/0!</v>
      </c>
      <c r="L11" s="19">
        <f t="shared" si="3"/>
        <v>0</v>
      </c>
      <c r="M11" s="18" t="e">
        <f t="shared" si="4"/>
        <v>#DIV/0!</v>
      </c>
      <c r="N11" s="19" t="e">
        <f t="shared" si="5"/>
        <v>#DIV/0!</v>
      </c>
    </row>
    <row r="12" spans="2:14" x14ac:dyDescent="0.25">
      <c r="B12" s="16" t="s">
        <v>96</v>
      </c>
      <c r="C12" s="17"/>
      <c r="D12" s="18" t="e">
        <f>C12/L12*100</f>
        <v>#DIV/0!</v>
      </c>
      <c r="E12" s="18" t="e">
        <f>C12/$C$13*100</f>
        <v>#DIV/0!</v>
      </c>
      <c r="F12" s="18" t="e">
        <f>C12/$L$13*100</f>
        <v>#DIV/0!</v>
      </c>
      <c r="G12" s="17"/>
      <c r="H12" s="18" t="e">
        <f>G12/L12*100</f>
        <v>#DIV/0!</v>
      </c>
      <c r="I12" s="18" t="e">
        <f>G12/$G$13*100</f>
        <v>#DIV/0!</v>
      </c>
      <c r="J12" s="18" t="e">
        <f>G12/$L$13*100</f>
        <v>#DIV/0!</v>
      </c>
      <c r="K12" s="18" t="e">
        <f>F12+J12</f>
        <v>#DIV/0!</v>
      </c>
      <c r="L12" s="19">
        <f>C12+G12</f>
        <v>0</v>
      </c>
      <c r="M12" s="18" t="e">
        <f>H12-D12</f>
        <v>#DIV/0!</v>
      </c>
      <c r="N12" s="19" t="e">
        <f>C12/G12</f>
        <v>#DIV/0!</v>
      </c>
    </row>
    <row r="13" spans="2:14" x14ac:dyDescent="0.25">
      <c r="C13" s="20">
        <f>SUM(C3:C12)</f>
        <v>0</v>
      </c>
      <c r="D13" s="21"/>
      <c r="E13" s="21" t="e">
        <f>SUM(E3:E12)</f>
        <v>#DIV/0!</v>
      </c>
      <c r="F13" s="18" t="e">
        <f>SUM(F3:F12)</f>
        <v>#DIV/0!</v>
      </c>
      <c r="G13" s="20">
        <f>SUM(G3:G12)</f>
        <v>0</v>
      </c>
      <c r="H13" s="21"/>
      <c r="I13" s="21" t="e">
        <f>SUM(I3:I12)</f>
        <v>#DIV/0!</v>
      </c>
      <c r="J13" s="18" t="e">
        <f>SUM(J3:J12)</f>
        <v>#DIV/0!</v>
      </c>
      <c r="K13" s="21" t="e">
        <f>SUM(K3:K12)</f>
        <v>#DIV/0!</v>
      </c>
      <c r="L13" s="20">
        <f>SUM(L3:L12)</f>
        <v>0</v>
      </c>
      <c r="M13" s="21"/>
      <c r="N13" s="19" t="e">
        <f>C13/G13</f>
        <v>#DIV/0!</v>
      </c>
    </row>
    <row r="16" spans="2:14" x14ac:dyDescent="0.25">
      <c r="D16" s="23" t="s">
        <v>12</v>
      </c>
      <c r="E16" s="23" t="s">
        <v>16</v>
      </c>
    </row>
    <row r="17" spans="3:5" x14ac:dyDescent="0.25">
      <c r="C17" s="16" t="s">
        <v>0</v>
      </c>
      <c r="D17" s="21">
        <f>C3</f>
        <v>0</v>
      </c>
      <c r="E17" s="21">
        <f>G3</f>
        <v>0</v>
      </c>
    </row>
    <row r="18" spans="3:5" x14ac:dyDescent="0.25">
      <c r="C18" s="16" t="s">
        <v>1</v>
      </c>
      <c r="D18" s="21">
        <f>C4</f>
        <v>0</v>
      </c>
      <c r="E18" s="21">
        <f>G4</f>
        <v>0</v>
      </c>
    </row>
    <row r="19" spans="3:5" x14ac:dyDescent="0.25">
      <c r="C19" s="16" t="s">
        <v>2</v>
      </c>
      <c r="D19" s="21">
        <f>C5</f>
        <v>0</v>
      </c>
      <c r="E19" s="21">
        <f>G5</f>
        <v>0</v>
      </c>
    </row>
    <row r="20" spans="3:5" x14ac:dyDescent="0.25">
      <c r="C20" s="16" t="s">
        <v>3</v>
      </c>
      <c r="D20" s="21">
        <f>C6</f>
        <v>0</v>
      </c>
      <c r="E20" s="21">
        <f>G6</f>
        <v>0</v>
      </c>
    </row>
    <row r="21" spans="3:5" x14ac:dyDescent="0.25">
      <c r="C21" s="16" t="s">
        <v>4</v>
      </c>
      <c r="D21" s="21">
        <f>C7</f>
        <v>0</v>
      </c>
      <c r="E21" s="21">
        <f>G7</f>
        <v>0</v>
      </c>
    </row>
    <row r="22" spans="3:5" x14ac:dyDescent="0.25">
      <c r="C22" s="16" t="s">
        <v>5</v>
      </c>
      <c r="D22" s="21">
        <f>C8</f>
        <v>0</v>
      </c>
      <c r="E22" s="21">
        <f>G8</f>
        <v>0</v>
      </c>
    </row>
    <row r="23" spans="3:5" x14ac:dyDescent="0.25">
      <c r="C23" s="16" t="s">
        <v>6</v>
      </c>
      <c r="D23" s="21">
        <f>C9</f>
        <v>0</v>
      </c>
      <c r="E23" s="21">
        <f>G9</f>
        <v>0</v>
      </c>
    </row>
    <row r="24" spans="3:5" x14ac:dyDescent="0.25">
      <c r="C24" s="16" t="s">
        <v>7</v>
      </c>
      <c r="D24" s="21">
        <f>C10</f>
        <v>0</v>
      </c>
      <c r="E24" s="21">
        <f>G10</f>
        <v>0</v>
      </c>
    </row>
    <row r="25" spans="3:5" x14ac:dyDescent="0.25">
      <c r="C25" s="16" t="s">
        <v>8</v>
      </c>
      <c r="D25" s="21">
        <f>C11</f>
        <v>0</v>
      </c>
      <c r="E25" s="21">
        <f>G11</f>
        <v>0</v>
      </c>
    </row>
    <row r="26" spans="3:5" x14ac:dyDescent="0.25">
      <c r="C26" s="16" t="s">
        <v>96</v>
      </c>
      <c r="D26" s="21">
        <f>C12</f>
        <v>0</v>
      </c>
      <c r="E26" s="21">
        <f>G12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9"/>
  <sheetViews>
    <sheetView topLeftCell="D1" workbookViewId="0">
      <selection activeCell="O13" sqref="O13"/>
    </sheetView>
  </sheetViews>
  <sheetFormatPr baseColWidth="10" defaultRowHeight="15" x14ac:dyDescent="0.25"/>
  <cols>
    <col min="1" max="1" width="5.140625" customWidth="1"/>
    <col min="2" max="3" width="15.140625" bestFit="1" customWidth="1"/>
  </cols>
  <sheetData>
    <row r="2" spans="2:14" ht="42.75" x14ac:dyDescent="0.25">
      <c r="B2" s="24" t="s">
        <v>22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13</v>
      </c>
      <c r="I2" s="24" t="s">
        <v>14</v>
      </c>
      <c r="J2" s="24" t="s">
        <v>17</v>
      </c>
      <c r="K2" s="24" t="s">
        <v>18</v>
      </c>
      <c r="L2" s="24" t="s">
        <v>21</v>
      </c>
      <c r="M2" s="24" t="s">
        <v>19</v>
      </c>
      <c r="N2" s="24" t="s">
        <v>20</v>
      </c>
    </row>
    <row r="3" spans="2:14" x14ac:dyDescent="0.25">
      <c r="B3" s="25" t="s">
        <v>23</v>
      </c>
      <c r="C3" s="28"/>
      <c r="D3" s="25" t="e">
        <f>C3/L3*100</f>
        <v>#DIV/0!</v>
      </c>
      <c r="E3" s="25" t="e">
        <f>C3/$C$9*100</f>
        <v>#DIV/0!</v>
      </c>
      <c r="F3" s="25" t="e">
        <f>C3/$L$9*100</f>
        <v>#DIV/0!</v>
      </c>
      <c r="G3" s="28"/>
      <c r="H3" s="25" t="e">
        <f>G3/L3*100</f>
        <v>#DIV/0!</v>
      </c>
      <c r="I3" s="25" t="e">
        <f>G3/$G$9*100</f>
        <v>#DIV/0!</v>
      </c>
      <c r="J3" s="25" t="e">
        <f>G3/$L$9*100</f>
        <v>#DIV/0!</v>
      </c>
      <c r="K3" s="25" t="e">
        <f>F3+J3</f>
        <v>#DIV/0!</v>
      </c>
      <c r="L3" s="25">
        <f>C3+G3</f>
        <v>0</v>
      </c>
      <c r="M3" s="25" t="e">
        <f>H3-D3</f>
        <v>#DIV/0!</v>
      </c>
      <c r="N3" s="25" t="e">
        <f>C3/G3</f>
        <v>#DIV/0!</v>
      </c>
    </row>
    <row r="4" spans="2:14" x14ac:dyDescent="0.25">
      <c r="B4" s="25" t="s">
        <v>24</v>
      </c>
      <c r="C4" s="28"/>
      <c r="D4" s="25" t="e">
        <f t="shared" ref="D4:D8" si="0">C4/L4*100</f>
        <v>#DIV/0!</v>
      </c>
      <c r="E4" s="25" t="e">
        <f t="shared" ref="E4:E8" si="1">C4/$C$9*100</f>
        <v>#DIV/0!</v>
      </c>
      <c r="F4" s="25" t="e">
        <f t="shared" ref="F4:F8" si="2">C4/$L$9*100</f>
        <v>#DIV/0!</v>
      </c>
      <c r="G4" s="28"/>
      <c r="H4" s="25" t="e">
        <f t="shared" ref="H4:H8" si="3">G4/L4*100</f>
        <v>#DIV/0!</v>
      </c>
      <c r="I4" s="25" t="e">
        <f t="shared" ref="I4:I8" si="4">G4/$G$9*100</f>
        <v>#DIV/0!</v>
      </c>
      <c r="J4" s="25" t="e">
        <f t="shared" ref="J4:J8" si="5">G4/$L$9*100</f>
        <v>#DIV/0!</v>
      </c>
      <c r="K4" s="25" t="e">
        <f t="shared" ref="K4:K8" si="6">F4+J4</f>
        <v>#DIV/0!</v>
      </c>
      <c r="L4" s="25">
        <f t="shared" ref="L4:L8" si="7">C4+G4</f>
        <v>0</v>
      </c>
      <c r="M4" s="25" t="e">
        <f t="shared" ref="M4:M8" si="8">H4-D4</f>
        <v>#DIV/0!</v>
      </c>
      <c r="N4" s="25" t="e">
        <f t="shared" ref="N4:N8" si="9">C4/G4</f>
        <v>#DIV/0!</v>
      </c>
    </row>
    <row r="5" spans="2:14" x14ac:dyDescent="0.25">
      <c r="B5" s="25" t="s">
        <v>25</v>
      </c>
      <c r="C5" s="28"/>
      <c r="D5" s="25" t="e">
        <f t="shared" si="0"/>
        <v>#DIV/0!</v>
      </c>
      <c r="E5" s="25" t="e">
        <f t="shared" si="1"/>
        <v>#DIV/0!</v>
      </c>
      <c r="F5" s="25" t="e">
        <f t="shared" si="2"/>
        <v>#DIV/0!</v>
      </c>
      <c r="G5" s="28"/>
      <c r="H5" s="25" t="e">
        <f t="shared" si="3"/>
        <v>#DIV/0!</v>
      </c>
      <c r="I5" s="25" t="e">
        <f t="shared" si="4"/>
        <v>#DIV/0!</v>
      </c>
      <c r="J5" s="25" t="e">
        <f t="shared" si="5"/>
        <v>#DIV/0!</v>
      </c>
      <c r="K5" s="25" t="e">
        <f t="shared" si="6"/>
        <v>#DIV/0!</v>
      </c>
      <c r="L5" s="25">
        <f t="shared" si="7"/>
        <v>0</v>
      </c>
      <c r="M5" s="25" t="e">
        <f t="shared" si="8"/>
        <v>#DIV/0!</v>
      </c>
      <c r="N5" s="25" t="e">
        <f t="shared" si="9"/>
        <v>#DIV/0!</v>
      </c>
    </row>
    <row r="6" spans="2:14" x14ac:dyDescent="0.25">
      <c r="B6" s="25" t="s">
        <v>26</v>
      </c>
      <c r="C6" s="28"/>
      <c r="D6" s="25" t="e">
        <f t="shared" si="0"/>
        <v>#DIV/0!</v>
      </c>
      <c r="E6" s="25" t="e">
        <f t="shared" si="1"/>
        <v>#DIV/0!</v>
      </c>
      <c r="F6" s="25" t="e">
        <f t="shared" si="2"/>
        <v>#DIV/0!</v>
      </c>
      <c r="G6" s="28"/>
      <c r="H6" s="25" t="e">
        <f t="shared" si="3"/>
        <v>#DIV/0!</v>
      </c>
      <c r="I6" s="25" t="e">
        <f t="shared" si="4"/>
        <v>#DIV/0!</v>
      </c>
      <c r="J6" s="25" t="e">
        <f t="shared" si="5"/>
        <v>#DIV/0!</v>
      </c>
      <c r="K6" s="25" t="e">
        <f t="shared" si="6"/>
        <v>#DIV/0!</v>
      </c>
      <c r="L6" s="25">
        <f t="shared" si="7"/>
        <v>0</v>
      </c>
      <c r="M6" s="25" t="e">
        <f t="shared" si="8"/>
        <v>#DIV/0!</v>
      </c>
      <c r="N6" s="25" t="e">
        <f t="shared" si="9"/>
        <v>#DIV/0!</v>
      </c>
    </row>
    <row r="7" spans="2:14" x14ac:dyDescent="0.25">
      <c r="B7" s="25" t="s">
        <v>27</v>
      </c>
      <c r="C7" s="28"/>
      <c r="D7" s="25" t="e">
        <f t="shared" si="0"/>
        <v>#DIV/0!</v>
      </c>
      <c r="E7" s="25" t="e">
        <f t="shared" si="1"/>
        <v>#DIV/0!</v>
      </c>
      <c r="F7" s="25" t="e">
        <f t="shared" si="2"/>
        <v>#DIV/0!</v>
      </c>
      <c r="G7" s="28"/>
      <c r="H7" s="25" t="e">
        <f t="shared" si="3"/>
        <v>#DIV/0!</v>
      </c>
      <c r="I7" s="25" t="e">
        <f t="shared" si="4"/>
        <v>#DIV/0!</v>
      </c>
      <c r="J7" s="25" t="e">
        <f t="shared" si="5"/>
        <v>#DIV/0!</v>
      </c>
      <c r="K7" s="25" t="e">
        <f t="shared" si="6"/>
        <v>#DIV/0!</v>
      </c>
      <c r="L7" s="25">
        <f t="shared" si="7"/>
        <v>0</v>
      </c>
      <c r="M7" s="25" t="e">
        <f t="shared" si="8"/>
        <v>#DIV/0!</v>
      </c>
      <c r="N7" s="25" t="e">
        <f t="shared" si="9"/>
        <v>#DIV/0!</v>
      </c>
    </row>
    <row r="8" spans="2:14" x14ac:dyDescent="0.25">
      <c r="B8" s="25" t="s">
        <v>28</v>
      </c>
      <c r="C8" s="28"/>
      <c r="D8" s="25" t="e">
        <f t="shared" si="0"/>
        <v>#DIV/0!</v>
      </c>
      <c r="E8" s="25" t="e">
        <f t="shared" si="1"/>
        <v>#DIV/0!</v>
      </c>
      <c r="F8" s="25" t="e">
        <f t="shared" si="2"/>
        <v>#DIV/0!</v>
      </c>
      <c r="G8" s="28"/>
      <c r="H8" s="25" t="e">
        <f t="shared" si="3"/>
        <v>#DIV/0!</v>
      </c>
      <c r="I8" s="25" t="e">
        <f t="shared" si="4"/>
        <v>#DIV/0!</v>
      </c>
      <c r="J8" s="25" t="e">
        <f t="shared" si="5"/>
        <v>#DIV/0!</v>
      </c>
      <c r="K8" s="25" t="e">
        <f t="shared" si="6"/>
        <v>#DIV/0!</v>
      </c>
      <c r="L8" s="25">
        <f t="shared" si="7"/>
        <v>0</v>
      </c>
      <c r="M8" s="25" t="e">
        <f t="shared" si="8"/>
        <v>#DIV/0!</v>
      </c>
      <c r="N8" s="25" t="e">
        <f t="shared" si="9"/>
        <v>#DIV/0!</v>
      </c>
    </row>
    <row r="9" spans="2:14" x14ac:dyDescent="0.25">
      <c r="B9" s="26"/>
      <c r="C9" s="25">
        <f>SUM(C3:C8)</f>
        <v>0</v>
      </c>
      <c r="D9" s="25"/>
      <c r="E9" s="25" t="e">
        <f>SUM(E3:E8)</f>
        <v>#DIV/0!</v>
      </c>
      <c r="F9" s="25" t="e">
        <f>SUM(F3:F8)</f>
        <v>#DIV/0!</v>
      </c>
      <c r="G9" s="25">
        <f>SUM(G3:G8)</f>
        <v>0</v>
      </c>
      <c r="H9" s="25"/>
      <c r="I9" s="25" t="e">
        <f>SUM(I3:I8)</f>
        <v>#DIV/0!</v>
      </c>
      <c r="J9" s="25" t="e">
        <f>SUM(J3:J8)</f>
        <v>#DIV/0!</v>
      </c>
      <c r="K9" s="25" t="e">
        <f>SUM(K3:K8)</f>
        <v>#DIV/0!</v>
      </c>
      <c r="L9" s="25">
        <f>SUM(L3:L8)</f>
        <v>0</v>
      </c>
      <c r="M9" s="25"/>
      <c r="N9" s="25"/>
    </row>
    <row r="13" spans="2:14" x14ac:dyDescent="0.25">
      <c r="D13" s="27" t="s">
        <v>12</v>
      </c>
      <c r="E13" s="27" t="s">
        <v>16</v>
      </c>
    </row>
    <row r="14" spans="2:14" x14ac:dyDescent="0.25">
      <c r="C14" s="15" t="s">
        <v>23</v>
      </c>
      <c r="D14" s="21">
        <f>C3</f>
        <v>0</v>
      </c>
      <c r="E14" s="21">
        <f>G3</f>
        <v>0</v>
      </c>
    </row>
    <row r="15" spans="2:14" x14ac:dyDescent="0.25">
      <c r="C15" s="15" t="s">
        <v>24</v>
      </c>
      <c r="D15" s="21">
        <f t="shared" ref="D15:D19" si="10">C4</f>
        <v>0</v>
      </c>
      <c r="E15" s="21">
        <f t="shared" ref="E15:E19" si="11">G4</f>
        <v>0</v>
      </c>
    </row>
    <row r="16" spans="2:14" x14ac:dyDescent="0.25">
      <c r="C16" s="15" t="s">
        <v>25</v>
      </c>
      <c r="D16" s="21">
        <f t="shared" si="10"/>
        <v>0</v>
      </c>
      <c r="E16" s="21">
        <f t="shared" si="11"/>
        <v>0</v>
      </c>
    </row>
    <row r="17" spans="3:5" x14ac:dyDescent="0.25">
      <c r="C17" s="15" t="s">
        <v>26</v>
      </c>
      <c r="D17" s="21">
        <f t="shared" si="10"/>
        <v>0</v>
      </c>
      <c r="E17" s="21">
        <f t="shared" si="11"/>
        <v>0</v>
      </c>
    </row>
    <row r="18" spans="3:5" x14ac:dyDescent="0.25">
      <c r="C18" s="15" t="s">
        <v>27</v>
      </c>
      <c r="D18" s="21">
        <f t="shared" si="10"/>
        <v>0</v>
      </c>
      <c r="E18" s="21">
        <f t="shared" si="11"/>
        <v>0</v>
      </c>
    </row>
    <row r="19" spans="3:5" x14ac:dyDescent="0.25">
      <c r="C19" s="15" t="s">
        <v>28</v>
      </c>
      <c r="D19" s="21">
        <f t="shared" si="10"/>
        <v>0</v>
      </c>
      <c r="E19" s="21">
        <f t="shared" si="1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0"/>
  <sheetViews>
    <sheetView workbookViewId="0">
      <selection activeCell="J4" sqref="J4"/>
    </sheetView>
  </sheetViews>
  <sheetFormatPr baseColWidth="10" defaultRowHeight="15" x14ac:dyDescent="0.25"/>
  <cols>
    <col min="1" max="1" width="5.42578125" customWidth="1"/>
    <col min="2" max="2" width="21.42578125" bestFit="1" customWidth="1"/>
    <col min="3" max="3" width="18.7109375" bestFit="1" customWidth="1"/>
  </cols>
  <sheetData>
    <row r="2" spans="2:14" ht="42.75" x14ac:dyDescent="0.25">
      <c r="B2" s="24" t="s">
        <v>29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13</v>
      </c>
      <c r="I2" s="24" t="s">
        <v>14</v>
      </c>
      <c r="J2" s="24" t="s">
        <v>17</v>
      </c>
      <c r="K2" s="24" t="s">
        <v>18</v>
      </c>
      <c r="L2" s="24" t="s">
        <v>21</v>
      </c>
      <c r="M2" s="24" t="s">
        <v>19</v>
      </c>
      <c r="N2" s="24" t="s">
        <v>20</v>
      </c>
    </row>
    <row r="3" spans="2:14" x14ac:dyDescent="0.25">
      <c r="B3" s="15"/>
      <c r="C3" s="25"/>
      <c r="D3" s="25" t="e">
        <f>C3/L3*100</f>
        <v>#DIV/0!</v>
      </c>
      <c r="E3" s="25" t="e">
        <f>C3/$C$14*100</f>
        <v>#DIV/0!</v>
      </c>
      <c r="F3" s="25" t="e">
        <f>C3/$L$14*100</f>
        <v>#DIV/0!</v>
      </c>
      <c r="G3" s="25"/>
      <c r="H3" s="25" t="e">
        <f>G3/L3*100</f>
        <v>#DIV/0!</v>
      </c>
      <c r="I3" s="25" t="e">
        <f>G3/$G$14*100</f>
        <v>#DIV/0!</v>
      </c>
      <c r="J3" s="25" t="e">
        <f>G3/$L$14*100</f>
        <v>#DIV/0!</v>
      </c>
      <c r="K3" s="25" t="e">
        <f>F3+J3</f>
        <v>#DIV/0!</v>
      </c>
      <c r="L3" s="25">
        <f>C3+G3</f>
        <v>0</v>
      </c>
      <c r="M3" s="25" t="e">
        <f>H3-D3</f>
        <v>#DIV/0!</v>
      </c>
      <c r="N3" s="25" t="e">
        <f>C3/G3</f>
        <v>#DIV/0!</v>
      </c>
    </row>
    <row r="4" spans="2:14" x14ac:dyDescent="0.25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2:14" x14ac:dyDescent="0.2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10" spans="2:14" x14ac:dyDescent="0.25">
      <c r="N10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6"/>
  <sheetViews>
    <sheetView topLeftCell="A2" workbookViewId="0">
      <selection activeCell="P14" sqref="P14"/>
    </sheetView>
  </sheetViews>
  <sheetFormatPr baseColWidth="10" defaultRowHeight="15" x14ac:dyDescent="0.25"/>
  <cols>
    <col min="1" max="1" width="5.5703125" customWidth="1"/>
    <col min="2" max="3" width="18.7109375" bestFit="1" customWidth="1"/>
  </cols>
  <sheetData>
    <row r="2" spans="2:14" ht="42.75" x14ac:dyDescent="0.25">
      <c r="B2" s="24" t="s">
        <v>31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13</v>
      </c>
      <c r="I2" s="24" t="s">
        <v>14</v>
      </c>
      <c r="J2" s="24" t="s">
        <v>17</v>
      </c>
      <c r="K2" s="24" t="s">
        <v>18</v>
      </c>
      <c r="L2" s="24" t="s">
        <v>21</v>
      </c>
      <c r="M2" s="24" t="s">
        <v>19</v>
      </c>
      <c r="N2" s="24" t="s">
        <v>20</v>
      </c>
    </row>
    <row r="3" spans="2:14" ht="28.5" x14ac:dyDescent="0.25">
      <c r="B3" s="32" t="s">
        <v>91</v>
      </c>
      <c r="C3" s="25"/>
      <c r="D3" s="25" t="e">
        <f>C3/L3*100</f>
        <v>#DIV/0!</v>
      </c>
      <c r="E3" s="25" t="e">
        <f>C3/$C$8*100</f>
        <v>#DIV/0!</v>
      </c>
      <c r="F3" s="25" t="e">
        <f>C3/$L$8*100</f>
        <v>#DIV/0!</v>
      </c>
      <c r="G3" s="25"/>
      <c r="H3" s="25" t="e">
        <f>G3/L3*100</f>
        <v>#DIV/0!</v>
      </c>
      <c r="I3" s="25" t="e">
        <f>G3/$G$8*100</f>
        <v>#DIV/0!</v>
      </c>
      <c r="J3" s="25" t="e">
        <f>G3/$L$8*100</f>
        <v>#DIV/0!</v>
      </c>
      <c r="K3" s="25" t="e">
        <f>F3+J3</f>
        <v>#DIV/0!</v>
      </c>
      <c r="L3" s="25">
        <f>C3+G3</f>
        <v>0</v>
      </c>
      <c r="M3" s="25" t="e">
        <f>H3-D3</f>
        <v>#DIV/0!</v>
      </c>
      <c r="N3" s="25" t="e">
        <f>C3/G3</f>
        <v>#DIV/0!</v>
      </c>
    </row>
    <row r="4" spans="2:14" ht="28.5" x14ac:dyDescent="0.25">
      <c r="B4" s="32" t="s">
        <v>92</v>
      </c>
      <c r="C4" s="25"/>
      <c r="D4" s="25" t="e">
        <f>C4/L4*100</f>
        <v>#DIV/0!</v>
      </c>
      <c r="E4" s="25" t="e">
        <f>C4/$C$8*100</f>
        <v>#DIV/0!</v>
      </c>
      <c r="F4" s="25" t="e">
        <f>C4/$L$8*100</f>
        <v>#DIV/0!</v>
      </c>
      <c r="G4" s="25"/>
      <c r="H4" s="25" t="e">
        <f t="shared" ref="H4:H7" si="0">G4/L4*100</f>
        <v>#DIV/0!</v>
      </c>
      <c r="I4" s="25" t="e">
        <f>G4/$G$8*100</f>
        <v>#DIV/0!</v>
      </c>
      <c r="J4" s="25" t="e">
        <f>G4/$L$8*100</f>
        <v>#DIV/0!</v>
      </c>
      <c r="K4" s="25" t="e">
        <f t="shared" ref="K4:K7" si="1">F4+J4</f>
        <v>#DIV/0!</v>
      </c>
      <c r="L4" s="25">
        <f t="shared" ref="L4:L7" si="2">C4+G4</f>
        <v>0</v>
      </c>
      <c r="M4" s="25" t="e">
        <f t="shared" ref="M4:M7" si="3">H4-D4</f>
        <v>#DIV/0!</v>
      </c>
      <c r="N4" s="25" t="e">
        <f t="shared" ref="N4:N7" si="4">C4/G4</f>
        <v>#DIV/0!</v>
      </c>
    </row>
    <row r="5" spans="2:14" x14ac:dyDescent="0.25">
      <c r="B5" s="32" t="s">
        <v>93</v>
      </c>
      <c r="C5" s="25"/>
      <c r="D5" s="25" t="e">
        <f t="shared" ref="D5:D7" si="5">C5/L5*100</f>
        <v>#DIV/0!</v>
      </c>
      <c r="E5" s="25" t="e">
        <f>C5/$C$8*100</f>
        <v>#DIV/0!</v>
      </c>
      <c r="F5" s="25" t="e">
        <f>C5/$L$8*100</f>
        <v>#DIV/0!</v>
      </c>
      <c r="G5" s="25"/>
      <c r="H5" s="25" t="e">
        <f t="shared" si="0"/>
        <v>#DIV/0!</v>
      </c>
      <c r="I5" s="25" t="e">
        <f>G5/$G$8*100</f>
        <v>#DIV/0!</v>
      </c>
      <c r="J5" s="25" t="e">
        <f>G5/$L$8*100</f>
        <v>#DIV/0!</v>
      </c>
      <c r="K5" s="25" t="e">
        <f t="shared" si="1"/>
        <v>#DIV/0!</v>
      </c>
      <c r="L5" s="25">
        <f t="shared" si="2"/>
        <v>0</v>
      </c>
      <c r="M5" s="25" t="e">
        <f t="shared" si="3"/>
        <v>#DIV/0!</v>
      </c>
      <c r="N5" s="25" t="e">
        <f t="shared" si="4"/>
        <v>#DIV/0!</v>
      </c>
    </row>
    <row r="6" spans="2:14" ht="42.75" x14ac:dyDescent="0.25">
      <c r="B6" s="29" t="s">
        <v>94</v>
      </c>
      <c r="C6" s="25"/>
      <c r="D6" s="25" t="e">
        <f t="shared" si="5"/>
        <v>#DIV/0!</v>
      </c>
      <c r="E6" s="25" t="e">
        <f>C6/$C$8*100</f>
        <v>#DIV/0!</v>
      </c>
      <c r="F6" s="25" t="e">
        <f>C6/$L$8*100</f>
        <v>#DIV/0!</v>
      </c>
      <c r="G6" s="25"/>
      <c r="H6" s="25" t="e">
        <f t="shared" si="0"/>
        <v>#DIV/0!</v>
      </c>
      <c r="I6" s="25" t="e">
        <f>G6/$G$8*100</f>
        <v>#DIV/0!</v>
      </c>
      <c r="J6" s="25" t="e">
        <f>G6/$L$8*100</f>
        <v>#DIV/0!</v>
      </c>
      <c r="K6" s="25" t="e">
        <f t="shared" si="1"/>
        <v>#DIV/0!</v>
      </c>
      <c r="L6" s="25">
        <f t="shared" si="2"/>
        <v>0</v>
      </c>
      <c r="M6" s="25" t="e">
        <f t="shared" si="3"/>
        <v>#DIV/0!</v>
      </c>
      <c r="N6" s="25" t="e">
        <f t="shared" si="4"/>
        <v>#DIV/0!</v>
      </c>
    </row>
    <row r="7" spans="2:14" ht="42.75" x14ac:dyDescent="0.25">
      <c r="B7" s="32" t="s">
        <v>95</v>
      </c>
      <c r="C7" s="25"/>
      <c r="D7" s="25" t="e">
        <f t="shared" si="5"/>
        <v>#DIV/0!</v>
      </c>
      <c r="E7" s="25" t="e">
        <f>C7/$C$8*100</f>
        <v>#DIV/0!</v>
      </c>
      <c r="F7" s="25" t="e">
        <f>C7/$L$8*100</f>
        <v>#DIV/0!</v>
      </c>
      <c r="G7" s="25"/>
      <c r="H7" s="25" t="e">
        <f t="shared" si="0"/>
        <v>#DIV/0!</v>
      </c>
      <c r="I7" s="25" t="e">
        <f>G7/$G$8*100</f>
        <v>#DIV/0!</v>
      </c>
      <c r="J7" s="25" t="e">
        <f>G7/$L$8*100</f>
        <v>#DIV/0!</v>
      </c>
      <c r="K7" s="25" t="e">
        <f t="shared" si="1"/>
        <v>#DIV/0!</v>
      </c>
      <c r="L7" s="25">
        <f t="shared" si="2"/>
        <v>0</v>
      </c>
      <c r="M7" s="25" t="e">
        <f t="shared" si="3"/>
        <v>#DIV/0!</v>
      </c>
      <c r="N7" s="25" t="e">
        <f t="shared" si="4"/>
        <v>#DIV/0!</v>
      </c>
    </row>
    <row r="8" spans="2:14" x14ac:dyDescent="0.25">
      <c r="B8" s="31"/>
      <c r="C8" s="25">
        <f>SUM(C3:C7)</f>
        <v>0</v>
      </c>
      <c r="D8" s="25"/>
      <c r="E8" s="25" t="e">
        <f>SUM(E3:E7)</f>
        <v>#DIV/0!</v>
      </c>
      <c r="F8" s="25" t="e">
        <f>SUM(F3:F7)</f>
        <v>#DIV/0!</v>
      </c>
      <c r="G8" s="25">
        <f>SUM(G3:G7)</f>
        <v>0</v>
      </c>
      <c r="H8" s="25"/>
      <c r="I8" s="25" t="e">
        <f>SUM(I3:I7)</f>
        <v>#DIV/0!</v>
      </c>
      <c r="J8" s="25" t="e">
        <f>SUM(J3:J7)</f>
        <v>#DIV/0!</v>
      </c>
      <c r="K8" s="25" t="e">
        <f>SUM(K3:K7)</f>
        <v>#DIV/0!</v>
      </c>
      <c r="L8" s="25">
        <f>SUM(L3:L7)</f>
        <v>0</v>
      </c>
      <c r="M8" s="25"/>
      <c r="N8" s="25"/>
    </row>
    <row r="9" spans="2:14" ht="16.5" x14ac:dyDescent="0.3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2:14" ht="16.5" x14ac:dyDescent="0.3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2:14" ht="16.5" x14ac:dyDescent="0.3">
      <c r="B11" s="30"/>
      <c r="C11" s="31"/>
      <c r="D11" s="27" t="s">
        <v>12</v>
      </c>
      <c r="E11" s="27" t="s">
        <v>16</v>
      </c>
      <c r="F11" s="30"/>
      <c r="G11" s="30"/>
      <c r="H11" s="30"/>
      <c r="I11" s="30"/>
      <c r="J11" s="30"/>
      <c r="K11" s="30"/>
      <c r="L11" s="30"/>
      <c r="M11" s="30"/>
      <c r="N11" s="30"/>
    </row>
    <row r="12" spans="2:14" ht="29.25" x14ac:dyDescent="0.3">
      <c r="B12" s="30"/>
      <c r="C12" s="32" t="s">
        <v>91</v>
      </c>
      <c r="D12" s="21">
        <f>C3</f>
        <v>0</v>
      </c>
      <c r="E12" s="21">
        <f>G3</f>
        <v>0</v>
      </c>
      <c r="F12" s="30"/>
      <c r="G12" s="30"/>
      <c r="H12" s="30"/>
      <c r="I12" s="30"/>
      <c r="J12" s="30"/>
      <c r="K12" s="30"/>
      <c r="L12" s="30"/>
      <c r="M12" s="30"/>
      <c r="N12" s="30"/>
    </row>
    <row r="13" spans="2:14" ht="29.25" x14ac:dyDescent="0.3">
      <c r="B13" s="30"/>
      <c r="C13" s="32" t="s">
        <v>92</v>
      </c>
      <c r="D13" s="21">
        <f>C4</f>
        <v>0</v>
      </c>
      <c r="E13" s="21">
        <f>G4</f>
        <v>0</v>
      </c>
      <c r="F13" s="30"/>
      <c r="G13" s="30"/>
      <c r="H13" s="30"/>
      <c r="I13" s="30"/>
      <c r="J13" s="30"/>
      <c r="K13" s="30"/>
      <c r="L13" s="30"/>
      <c r="M13" s="30"/>
      <c r="N13" s="30"/>
    </row>
    <row r="14" spans="2:14" ht="16.5" x14ac:dyDescent="0.3">
      <c r="B14" s="30"/>
      <c r="C14" s="32" t="s">
        <v>93</v>
      </c>
      <c r="D14" s="21">
        <f>C5</f>
        <v>0</v>
      </c>
      <c r="E14" s="21">
        <f>G5</f>
        <v>0</v>
      </c>
      <c r="F14" s="30"/>
      <c r="G14" s="30"/>
      <c r="H14" s="30"/>
      <c r="I14" s="30"/>
      <c r="J14" s="30"/>
      <c r="K14" s="30"/>
      <c r="L14" s="30"/>
      <c r="M14" s="30"/>
      <c r="N14" s="30"/>
    </row>
    <row r="15" spans="2:14" ht="42.75" x14ac:dyDescent="0.3">
      <c r="B15" s="30"/>
      <c r="C15" s="29" t="s">
        <v>94</v>
      </c>
      <c r="D15" s="21">
        <f>C6</f>
        <v>0</v>
      </c>
      <c r="E15" s="21">
        <f>G6</f>
        <v>0</v>
      </c>
      <c r="F15" s="30"/>
      <c r="G15" s="30"/>
      <c r="H15" s="30"/>
      <c r="I15" s="30"/>
      <c r="J15" s="30"/>
      <c r="K15" s="30"/>
      <c r="L15" s="30"/>
      <c r="M15" s="30"/>
      <c r="N15" s="30"/>
    </row>
    <row r="16" spans="2:14" ht="43.5" x14ac:dyDescent="0.3">
      <c r="B16" s="30"/>
      <c r="C16" s="32" t="s">
        <v>95</v>
      </c>
      <c r="D16" s="21">
        <f>C7</f>
        <v>0</v>
      </c>
      <c r="E16" s="21">
        <f>G7</f>
        <v>0</v>
      </c>
      <c r="F16" s="30"/>
      <c r="G16" s="30"/>
      <c r="H16" s="30"/>
      <c r="I16" s="30"/>
      <c r="J16" s="30"/>
      <c r="K16" s="30"/>
      <c r="L16" s="30"/>
      <c r="M16" s="30"/>
      <c r="N16" s="3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3"/>
  <sheetViews>
    <sheetView workbookViewId="0">
      <selection activeCell="I3" sqref="I3"/>
    </sheetView>
  </sheetViews>
  <sheetFormatPr baseColWidth="10" defaultRowHeight="15" x14ac:dyDescent="0.25"/>
  <cols>
    <col min="1" max="1" width="4.5703125" customWidth="1"/>
    <col min="2" max="2" width="12" customWidth="1"/>
    <col min="3" max="3" width="11.28515625" bestFit="1" customWidth="1"/>
  </cols>
  <sheetData>
    <row r="2" spans="2:14" ht="45" x14ac:dyDescent="0.25">
      <c r="B2" s="11" t="s">
        <v>32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33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G3/L3*100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26.25" x14ac:dyDescent="0.25">
      <c r="B4" s="5" t="s">
        <v>34</v>
      </c>
      <c r="C4" s="2"/>
      <c r="D4" s="2" t="e">
        <f t="shared" ref="D4:D6" si="0">C4/L4*100</f>
        <v>#DIV/0!</v>
      </c>
      <c r="E4" s="2" t="e">
        <f>C4/$C$7*100</f>
        <v>#DIV/0!</v>
      </c>
      <c r="F4" s="2" t="e">
        <f>C4/$L$7*100</f>
        <v>#DIV/0!</v>
      </c>
      <c r="G4" s="2"/>
      <c r="H4" s="2" t="e">
        <f t="shared" ref="H4:H6" si="1">G4/L4*100</f>
        <v>#DIV/0!</v>
      </c>
      <c r="I4" s="2" t="e">
        <f>G4/$G$7*100</f>
        <v>#DIV/0!</v>
      </c>
      <c r="J4" s="2" t="e">
        <f>G4/$L$7*100</f>
        <v>#DIV/0!</v>
      </c>
      <c r="K4" s="2" t="e">
        <f t="shared" ref="K4:K6" si="2">F4+J4</f>
        <v>#DIV/0!</v>
      </c>
      <c r="L4" s="2">
        <f t="shared" ref="L4:L6" si="3">C4+G4</f>
        <v>0</v>
      </c>
      <c r="M4" s="2" t="e">
        <f t="shared" ref="M4:M6" si="4">H4-D4</f>
        <v>#DIV/0!</v>
      </c>
      <c r="N4" s="2" t="e">
        <f t="shared" ref="N4:N6" si="5">C4/G4</f>
        <v>#DIV/0!</v>
      </c>
    </row>
    <row r="5" spans="2:14" ht="26.25" x14ac:dyDescent="0.25">
      <c r="B5" s="5" t="s">
        <v>35</v>
      </c>
      <c r="C5" s="2"/>
      <c r="D5" s="2" t="e">
        <f t="shared" si="0"/>
        <v>#DIV/0!</v>
      </c>
      <c r="E5" s="2" t="e">
        <f>C5/$C$7*100</f>
        <v>#DIV/0!</v>
      </c>
      <c r="F5" s="2" t="e">
        <f>C5/$L$7*100</f>
        <v>#DIV/0!</v>
      </c>
      <c r="G5" s="2"/>
      <c r="H5" s="2" t="e">
        <f t="shared" si="1"/>
        <v>#DIV/0!</v>
      </c>
      <c r="I5" s="2" t="e">
        <f>G5/$G$7*100</f>
        <v>#DIV/0!</v>
      </c>
      <c r="J5" s="2" t="e">
        <f>G5/$L$7*100</f>
        <v>#DIV/0!</v>
      </c>
      <c r="K5" s="2" t="e">
        <f t="shared" si="2"/>
        <v>#DIV/0!</v>
      </c>
      <c r="L5" s="2">
        <f t="shared" si="3"/>
        <v>0</v>
      </c>
      <c r="M5" s="2" t="e">
        <f t="shared" si="4"/>
        <v>#DIV/0!</v>
      </c>
      <c r="N5" s="2" t="e">
        <f t="shared" si="5"/>
        <v>#DIV/0!</v>
      </c>
    </row>
    <row r="6" spans="2:14" ht="25.5" x14ac:dyDescent="0.25">
      <c r="B6" s="6" t="s">
        <v>36</v>
      </c>
      <c r="C6" s="2"/>
      <c r="D6" s="2" t="e">
        <f t="shared" si="0"/>
        <v>#DIV/0!</v>
      </c>
      <c r="E6" s="2" t="e">
        <f>C6/$C$7*100</f>
        <v>#DIV/0!</v>
      </c>
      <c r="F6" s="2" t="e">
        <f>C6/$L$7*100</f>
        <v>#DIV/0!</v>
      </c>
      <c r="G6" s="2"/>
      <c r="H6" s="2" t="e">
        <f t="shared" si="1"/>
        <v>#DIV/0!</v>
      </c>
      <c r="I6" s="2" t="e">
        <f>G6/$G$7*100</f>
        <v>#DIV/0!</v>
      </c>
      <c r="J6" s="2" t="e">
        <f>G6/$L$7*100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x14ac:dyDescent="0.25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9" spans="2:14" x14ac:dyDescent="0.25">
      <c r="D9" s="12" t="s">
        <v>12</v>
      </c>
      <c r="E9" s="12" t="s">
        <v>16</v>
      </c>
    </row>
    <row r="10" spans="2:14" ht="26.25" x14ac:dyDescent="0.25">
      <c r="C10" s="5" t="s">
        <v>33</v>
      </c>
      <c r="D10" s="4">
        <f>C3</f>
        <v>0</v>
      </c>
      <c r="E10" s="4">
        <f>G3</f>
        <v>0</v>
      </c>
    </row>
    <row r="11" spans="2:14" ht="26.25" x14ac:dyDescent="0.25">
      <c r="C11" s="5" t="s">
        <v>34</v>
      </c>
      <c r="D11" s="4">
        <f t="shared" ref="D11:D13" si="6">C4</f>
        <v>0</v>
      </c>
      <c r="E11" s="4">
        <f t="shared" ref="E11:E13" si="7">G4</f>
        <v>0</v>
      </c>
    </row>
    <row r="12" spans="2:14" ht="26.25" x14ac:dyDescent="0.25">
      <c r="C12" s="5" t="s">
        <v>35</v>
      </c>
      <c r="D12" s="4">
        <f t="shared" si="6"/>
        <v>0</v>
      </c>
      <c r="E12" s="4">
        <f t="shared" si="7"/>
        <v>0</v>
      </c>
    </row>
    <row r="13" spans="2:14" ht="25.5" x14ac:dyDescent="0.25">
      <c r="C13" s="6" t="s">
        <v>36</v>
      </c>
      <c r="D13" s="4">
        <f t="shared" si="6"/>
        <v>0</v>
      </c>
      <c r="E13" s="4">
        <f t="shared" si="7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"/>
  <sheetViews>
    <sheetView workbookViewId="0">
      <selection activeCell="J8" sqref="J8"/>
    </sheetView>
  </sheetViews>
  <sheetFormatPr baseColWidth="10" defaultRowHeight="15" x14ac:dyDescent="0.25"/>
  <cols>
    <col min="1" max="1" width="4.140625" customWidth="1"/>
    <col min="2" max="2" width="14.5703125" customWidth="1"/>
  </cols>
  <sheetData>
    <row r="2" spans="2:14" ht="45" x14ac:dyDescent="0.25">
      <c r="B2" s="11" t="s">
        <v>37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C3/#REF!*100</f>
        <v>#REF!</v>
      </c>
      <c r="F3" s="2" t="e">
        <f>C3/#REF!*100</f>
        <v>#REF!</v>
      </c>
      <c r="G3" s="2"/>
      <c r="H3" s="2" t="e">
        <f>G3/L3*100</f>
        <v>#DIV/0!</v>
      </c>
      <c r="I3" s="2" t="e">
        <f>G3/#REF!*100</f>
        <v>#REF!</v>
      </c>
      <c r="J3" s="2" t="e">
        <f>G3/#REF!*100</f>
        <v>#REF!</v>
      </c>
      <c r="K3" s="2" t="e">
        <f>F3+J3</f>
        <v>#REF!</v>
      </c>
      <c r="L3" s="2">
        <f>C3+G3</f>
        <v>0</v>
      </c>
      <c r="M3" s="2" t="e">
        <f>H3-D3</f>
        <v>#DIV/0!</v>
      </c>
      <c r="N3" s="2" t="e">
        <f>C3/G3</f>
        <v>#DIV/0!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"/>
  <sheetViews>
    <sheetView workbookViewId="0">
      <selection activeCell="K11" sqref="K11"/>
    </sheetView>
  </sheetViews>
  <sheetFormatPr baseColWidth="10" defaultRowHeight="15" x14ac:dyDescent="0.25"/>
  <cols>
    <col min="1" max="1" width="4.5703125" customWidth="1"/>
  </cols>
  <sheetData>
    <row r="2" spans="2:14" ht="45" x14ac:dyDescent="0.25">
      <c r="B2" s="11" t="s">
        <v>38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8"/>
  <sheetViews>
    <sheetView workbookViewId="0">
      <selection activeCell="E8" sqref="E8"/>
    </sheetView>
  </sheetViews>
  <sheetFormatPr baseColWidth="10" defaultRowHeight="15" x14ac:dyDescent="0.25"/>
  <cols>
    <col min="1" max="1" width="4.85546875" customWidth="1"/>
    <col min="2" max="2" width="13.42578125" customWidth="1"/>
  </cols>
  <sheetData>
    <row r="2" spans="2:14" ht="45" x14ac:dyDescent="0.25">
      <c r="B2" s="11" t="s">
        <v>39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8" spans="2:14" x14ac:dyDescent="0.25">
      <c r="E8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N15"/>
  <sheetViews>
    <sheetView workbookViewId="0">
      <selection activeCell="F5" sqref="F5"/>
    </sheetView>
  </sheetViews>
  <sheetFormatPr baseColWidth="10" defaultRowHeight="15" x14ac:dyDescent="0.25"/>
  <cols>
    <col min="1" max="1" width="5.28515625" customWidth="1"/>
  </cols>
  <sheetData>
    <row r="3" spans="2:14" ht="45" x14ac:dyDescent="0.25">
      <c r="B3" s="11" t="s">
        <v>40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13</v>
      </c>
      <c r="I3" s="11" t="s">
        <v>14</v>
      </c>
      <c r="J3" s="11" t="s">
        <v>17</v>
      </c>
      <c r="K3" s="11" t="s">
        <v>18</v>
      </c>
      <c r="L3" s="11" t="s">
        <v>21</v>
      </c>
      <c r="M3" s="11" t="s">
        <v>19</v>
      </c>
      <c r="N3" s="11" t="s">
        <v>20</v>
      </c>
    </row>
    <row r="4" spans="2:14" x14ac:dyDescent="0.25">
      <c r="B4" s="5" t="s">
        <v>41</v>
      </c>
      <c r="C4" s="2"/>
      <c r="D4" s="2" t="e">
        <f>C4/L4*100</f>
        <v>#DIV/0!</v>
      </c>
      <c r="E4" s="2" t="e">
        <f>C4/$C$8*100</f>
        <v>#DIV/0!</v>
      </c>
      <c r="F4" s="2" t="e">
        <f>C4/$L$8*100</f>
        <v>#DIV/0!</v>
      </c>
      <c r="G4" s="2"/>
      <c r="H4" s="2" t="e">
        <f>G4/L4*100</f>
        <v>#DIV/0!</v>
      </c>
      <c r="I4" s="2" t="e">
        <f>G4/$G$8*100</f>
        <v>#DIV/0!</v>
      </c>
      <c r="J4" s="2" t="e">
        <f>G4/$L$8*100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2:14" x14ac:dyDescent="0.25">
      <c r="B5" s="5" t="s">
        <v>42</v>
      </c>
      <c r="C5" s="2"/>
      <c r="D5" s="2" t="e">
        <f t="shared" ref="D5:D7" si="0">C5/L5*100</f>
        <v>#DIV/0!</v>
      </c>
      <c r="E5" s="2" t="e">
        <f t="shared" ref="E5:E7" si="1">C5/$C$8*100</f>
        <v>#DIV/0!</v>
      </c>
      <c r="F5" s="2" t="e">
        <f t="shared" ref="F5:F7" si="2">C5/$L$8*100</f>
        <v>#DIV/0!</v>
      </c>
      <c r="G5" s="2"/>
      <c r="H5" s="2" t="e">
        <f t="shared" ref="H5:H7" si="3">G5/L5*100</f>
        <v>#DIV/0!</v>
      </c>
      <c r="I5" s="2" t="e">
        <f t="shared" ref="I5:I7" si="4">G5/$G$8*100</f>
        <v>#DIV/0!</v>
      </c>
      <c r="J5" s="2" t="e">
        <f t="shared" ref="J5:J7" si="5">G5/$L$8*100</f>
        <v>#DIV/0!</v>
      </c>
      <c r="K5" s="2" t="e">
        <f t="shared" ref="K5:K7" si="6">F5+J5</f>
        <v>#DIV/0!</v>
      </c>
      <c r="L5" s="2">
        <f t="shared" ref="L5:L7" si="7">C5+G5</f>
        <v>0</v>
      </c>
      <c r="M5" s="2" t="e">
        <f t="shared" ref="M5:M7" si="8">H5-D5</f>
        <v>#DIV/0!</v>
      </c>
      <c r="N5" s="2" t="e">
        <f t="shared" ref="N5:N7" si="9">C5/G5</f>
        <v>#DIV/0!</v>
      </c>
    </row>
    <row r="6" spans="2:14" x14ac:dyDescent="0.25">
      <c r="B6" s="5" t="s">
        <v>43</v>
      </c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x14ac:dyDescent="0.25">
      <c r="B7" s="5" t="s">
        <v>44</v>
      </c>
      <c r="C7" s="2"/>
      <c r="D7" s="2" t="e">
        <f t="shared" si="0"/>
        <v>#DIV/0!</v>
      </c>
      <c r="E7" s="2" t="e">
        <f t="shared" si="1"/>
        <v>#DIV/0!</v>
      </c>
      <c r="F7" s="2" t="e">
        <f t="shared" si="2"/>
        <v>#DIV/0!</v>
      </c>
      <c r="G7" s="2"/>
      <c r="H7" s="2" t="e">
        <f t="shared" si="3"/>
        <v>#DIV/0!</v>
      </c>
      <c r="I7" s="2" t="e">
        <f t="shared" si="4"/>
        <v>#DIV/0!</v>
      </c>
      <c r="J7" s="2" t="e">
        <f t="shared" si="5"/>
        <v>#DIV/0!</v>
      </c>
      <c r="K7" s="2" t="e">
        <f t="shared" si="6"/>
        <v>#DIV/0!</v>
      </c>
      <c r="L7" s="2">
        <f t="shared" si="7"/>
        <v>0</v>
      </c>
      <c r="M7" s="2" t="e">
        <f t="shared" si="8"/>
        <v>#DIV/0!</v>
      </c>
      <c r="N7" s="2" t="e">
        <f t="shared" si="9"/>
        <v>#DIV/0!</v>
      </c>
    </row>
    <row r="8" spans="2:14" x14ac:dyDescent="0.25">
      <c r="C8" s="2">
        <f>SUM(C4:C7)</f>
        <v>0</v>
      </c>
      <c r="D8" s="2"/>
      <c r="E8" s="2" t="e">
        <f>SUM(E4:E7)</f>
        <v>#DIV/0!</v>
      </c>
      <c r="F8" s="2" t="e">
        <f>SUM(F4:F7)</f>
        <v>#DIV/0!</v>
      </c>
      <c r="G8" s="2">
        <f>SUM(G4:G7)</f>
        <v>0</v>
      </c>
      <c r="H8" s="2"/>
      <c r="I8" s="2" t="e">
        <f>SUM(I4:I7)</f>
        <v>#DIV/0!</v>
      </c>
      <c r="J8" s="2" t="e">
        <f>SUM(J4:J7)</f>
        <v>#DIV/0!</v>
      </c>
      <c r="K8" s="2" t="e">
        <f>SUM(K4:K7)</f>
        <v>#DIV/0!</v>
      </c>
      <c r="L8" s="2">
        <f>SUM(L4:L7)</f>
        <v>0</v>
      </c>
      <c r="M8" s="2"/>
      <c r="N8" s="2"/>
    </row>
    <row r="11" spans="2:14" x14ac:dyDescent="0.25">
      <c r="D11" s="12" t="s">
        <v>12</v>
      </c>
      <c r="E11" s="12" t="s">
        <v>16</v>
      </c>
    </row>
    <row r="12" spans="2:14" x14ac:dyDescent="0.25">
      <c r="C12" s="5" t="s">
        <v>41</v>
      </c>
      <c r="D12" s="4">
        <f>C4</f>
        <v>0</v>
      </c>
      <c r="E12" s="4">
        <f>G4</f>
        <v>0</v>
      </c>
    </row>
    <row r="13" spans="2:14" x14ac:dyDescent="0.25">
      <c r="C13" s="5" t="s">
        <v>42</v>
      </c>
      <c r="D13" s="4">
        <f t="shared" ref="D13:D15" si="10">C5</f>
        <v>0</v>
      </c>
      <c r="E13" s="4">
        <f t="shared" ref="E13:E15" si="11">G5</f>
        <v>0</v>
      </c>
    </row>
    <row r="14" spans="2:14" x14ac:dyDescent="0.25">
      <c r="C14" s="5" t="s">
        <v>43</v>
      </c>
      <c r="D14" s="4">
        <f t="shared" si="10"/>
        <v>0</v>
      </c>
      <c r="E14" s="4">
        <f t="shared" si="11"/>
        <v>0</v>
      </c>
    </row>
    <row r="15" spans="2:14" x14ac:dyDescent="0.25">
      <c r="C15" s="5" t="s">
        <v>44</v>
      </c>
      <c r="D15" s="4">
        <f t="shared" si="10"/>
        <v>0</v>
      </c>
      <c r="E15" s="4">
        <f t="shared" si="11"/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4"/>
  <sheetViews>
    <sheetView workbookViewId="0">
      <selection activeCell="J4" sqref="J4"/>
    </sheetView>
  </sheetViews>
  <sheetFormatPr baseColWidth="10" defaultRowHeight="15" x14ac:dyDescent="0.25"/>
  <cols>
    <col min="1" max="1" width="5.5703125" customWidth="1"/>
  </cols>
  <sheetData>
    <row r="2" spans="2:14" ht="45" x14ac:dyDescent="0.25">
      <c r="B2" s="11" t="s">
        <v>45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 t="s">
        <v>46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G3/L3*100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B4" s="5" t="s">
        <v>47</v>
      </c>
      <c r="C4" s="2"/>
      <c r="D4" s="2" t="e">
        <f t="shared" ref="D4:D6" si="0">C4/L4*100</f>
        <v>#DIV/0!</v>
      </c>
      <c r="E4" s="2" t="e">
        <f t="shared" ref="E4:E6" si="1">C4/$C$7*100</f>
        <v>#DIV/0!</v>
      </c>
      <c r="F4" s="2" t="e">
        <f t="shared" ref="F4:F6" si="2">C4/$L$7*100</f>
        <v>#DIV/0!</v>
      </c>
      <c r="G4" s="2"/>
      <c r="H4" s="2" t="e">
        <f t="shared" ref="H4:H6" si="3">G4/L4*100</f>
        <v>#DIV/0!</v>
      </c>
      <c r="I4" s="2" t="e">
        <f t="shared" ref="I4:I6" si="4">G4/$G$7*100</f>
        <v>#DIV/0!</v>
      </c>
      <c r="J4" s="2" t="e">
        <f t="shared" ref="J4:J6" si="5">G4/$L$7*100</f>
        <v>#DIV/0!</v>
      </c>
      <c r="K4" s="2" t="e">
        <f t="shared" ref="K4:K6" si="6">F4+J4</f>
        <v>#DIV/0!</v>
      </c>
      <c r="L4" s="2">
        <f t="shared" ref="L4:L6" si="7">C4+G4</f>
        <v>0</v>
      </c>
      <c r="M4" s="2" t="e">
        <f t="shared" ref="M4:M6" si="8">H4-D4</f>
        <v>#DIV/0!</v>
      </c>
      <c r="N4" s="2" t="e">
        <f t="shared" ref="N4:N6" si="9">C4/G4</f>
        <v>#DIV/0!</v>
      </c>
    </row>
    <row r="5" spans="2:14" x14ac:dyDescent="0.25">
      <c r="B5" s="5" t="s">
        <v>48</v>
      </c>
      <c r="C5" s="2"/>
      <c r="D5" s="2" t="e">
        <f t="shared" si="0"/>
        <v>#DIV/0!</v>
      </c>
      <c r="E5" s="2" t="e">
        <f t="shared" si="1"/>
        <v>#DIV/0!</v>
      </c>
      <c r="F5" s="2" t="e">
        <f t="shared" si="2"/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ht="26.25" x14ac:dyDescent="0.25">
      <c r="B6" s="5" t="s">
        <v>49</v>
      </c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x14ac:dyDescent="0.25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10" spans="2:14" x14ac:dyDescent="0.25">
      <c r="D10" s="12" t="s">
        <v>12</v>
      </c>
      <c r="E10" s="12" t="s">
        <v>16</v>
      </c>
    </row>
    <row r="11" spans="2:14" x14ac:dyDescent="0.25">
      <c r="C11" s="5" t="s">
        <v>46</v>
      </c>
      <c r="D11" s="4">
        <f>C3</f>
        <v>0</v>
      </c>
      <c r="E11" s="4">
        <f>G3</f>
        <v>0</v>
      </c>
    </row>
    <row r="12" spans="2:14" x14ac:dyDescent="0.25">
      <c r="C12" s="5" t="s">
        <v>47</v>
      </c>
      <c r="D12" s="4">
        <f t="shared" ref="D12:D14" si="10">C4</f>
        <v>0</v>
      </c>
      <c r="E12" s="4">
        <f t="shared" ref="E12:E14" si="11">G4</f>
        <v>0</v>
      </c>
    </row>
    <row r="13" spans="2:14" x14ac:dyDescent="0.25">
      <c r="C13" s="5" t="s">
        <v>48</v>
      </c>
      <c r="D13" s="4">
        <f t="shared" si="10"/>
        <v>0</v>
      </c>
      <c r="E13" s="4">
        <f t="shared" si="11"/>
        <v>0</v>
      </c>
    </row>
    <row r="14" spans="2:14" ht="26.25" x14ac:dyDescent="0.25">
      <c r="C14" s="5" t="s">
        <v>49</v>
      </c>
      <c r="D14" s="4">
        <f t="shared" si="10"/>
        <v>0</v>
      </c>
      <c r="E14" s="4">
        <f t="shared" si="11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N37"/>
  <sheetViews>
    <sheetView topLeftCell="A12" workbookViewId="0">
      <selection activeCell="C31" sqref="C31:E37"/>
    </sheetView>
  </sheetViews>
  <sheetFormatPr baseColWidth="10" defaultRowHeight="15" x14ac:dyDescent="0.25"/>
  <cols>
    <col min="1" max="1" width="6" customWidth="1"/>
  </cols>
  <sheetData>
    <row r="2" spans="2:14" ht="45" x14ac:dyDescent="0.25">
      <c r="B2" s="11" t="s">
        <v>50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51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G3/$L$7*100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26.25" x14ac:dyDescent="0.25">
      <c r="B4" s="5" t="s">
        <v>52</v>
      </c>
      <c r="C4" s="2"/>
      <c r="D4" s="2" t="e">
        <f t="shared" ref="D4:D6" si="0">C4/L4*100</f>
        <v>#DIV/0!</v>
      </c>
      <c r="E4" s="2" t="e">
        <f t="shared" ref="E4:E6" si="1">C4/$C$7*100</f>
        <v>#DIV/0!</v>
      </c>
      <c r="F4" s="2" t="e">
        <f t="shared" ref="F4:F6" si="2">C4/$L$7*100</f>
        <v>#DIV/0!</v>
      </c>
      <c r="G4" s="2"/>
      <c r="H4" s="2" t="e">
        <f t="shared" ref="H4:H6" si="3">G4/$L$7*100</f>
        <v>#DIV/0!</v>
      </c>
      <c r="I4" s="2" t="e">
        <f t="shared" ref="I4:I6" si="4">G4/$G$7*100</f>
        <v>#DIV/0!</v>
      </c>
      <c r="J4" s="2" t="e">
        <f t="shared" ref="J4:J6" si="5">G4/$L$7*100</f>
        <v>#DIV/0!</v>
      </c>
      <c r="K4" s="2" t="e">
        <f t="shared" ref="K4:K6" si="6">F4+J4</f>
        <v>#DIV/0!</v>
      </c>
      <c r="L4" s="2">
        <f t="shared" ref="L4:L6" si="7">C4+G4</f>
        <v>0</v>
      </c>
      <c r="M4" s="2" t="e">
        <f t="shared" ref="M4:M6" si="8">H4-D4</f>
        <v>#DIV/0!</v>
      </c>
      <c r="N4" s="2" t="e">
        <f t="shared" ref="N4:N6" si="9">C4/G4</f>
        <v>#DIV/0!</v>
      </c>
    </row>
    <row r="5" spans="2:14" ht="26.25" x14ac:dyDescent="0.25">
      <c r="B5" s="5" t="s">
        <v>53</v>
      </c>
      <c r="C5" s="2"/>
      <c r="D5" s="2" t="e">
        <f t="shared" si="0"/>
        <v>#DIV/0!</v>
      </c>
      <c r="E5" s="2" t="e">
        <f t="shared" si="1"/>
        <v>#DIV/0!</v>
      </c>
      <c r="F5" s="2" t="e">
        <f>C5/$L$7*100</f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x14ac:dyDescent="0.25">
      <c r="B6" s="5" t="s">
        <v>54</v>
      </c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x14ac:dyDescent="0.25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9" spans="2:14" x14ac:dyDescent="0.25">
      <c r="D9" s="12" t="s">
        <v>12</v>
      </c>
      <c r="E9" s="12" t="s">
        <v>16</v>
      </c>
    </row>
    <row r="10" spans="2:14" ht="26.25" x14ac:dyDescent="0.25">
      <c r="C10" s="5" t="s">
        <v>51</v>
      </c>
      <c r="D10" s="4">
        <f>C3</f>
        <v>0</v>
      </c>
      <c r="E10" s="4">
        <f>G3</f>
        <v>0</v>
      </c>
    </row>
    <row r="11" spans="2:14" ht="26.25" x14ac:dyDescent="0.25">
      <c r="C11" s="5" t="s">
        <v>52</v>
      </c>
      <c r="D11" s="4">
        <f t="shared" ref="D11:D13" si="10">C4</f>
        <v>0</v>
      </c>
      <c r="E11" s="4">
        <f t="shared" ref="E11:E13" si="11">G4</f>
        <v>0</v>
      </c>
    </row>
    <row r="12" spans="2:14" ht="26.25" x14ac:dyDescent="0.25">
      <c r="C12" s="5" t="s">
        <v>53</v>
      </c>
      <c r="D12" s="4">
        <f t="shared" si="10"/>
        <v>0</v>
      </c>
      <c r="E12" s="4">
        <f t="shared" si="11"/>
        <v>0</v>
      </c>
    </row>
    <row r="13" spans="2:14" x14ac:dyDescent="0.25">
      <c r="C13" s="5" t="s">
        <v>54</v>
      </c>
      <c r="D13" s="4">
        <f t="shared" si="10"/>
        <v>0</v>
      </c>
      <c r="E13" s="4">
        <f t="shared" si="11"/>
        <v>0</v>
      </c>
    </row>
    <row r="17" spans="2:14" s="13" customFormat="1" x14ac:dyDescent="0.25"/>
    <row r="20" spans="2:14" ht="45" x14ac:dyDescent="0.25">
      <c r="B20" s="11" t="s">
        <v>55</v>
      </c>
      <c r="C20" s="11" t="s">
        <v>12</v>
      </c>
      <c r="D20" s="11" t="s">
        <v>13</v>
      </c>
      <c r="E20" s="11" t="s">
        <v>14</v>
      </c>
      <c r="F20" s="11" t="s">
        <v>15</v>
      </c>
      <c r="G20" s="11" t="s">
        <v>16</v>
      </c>
      <c r="H20" s="11" t="s">
        <v>13</v>
      </c>
      <c r="I20" s="11" t="s">
        <v>14</v>
      </c>
      <c r="J20" s="11" t="s">
        <v>17</v>
      </c>
      <c r="K20" s="11" t="s">
        <v>18</v>
      </c>
      <c r="L20" s="11" t="s">
        <v>21</v>
      </c>
      <c r="M20" s="11" t="s">
        <v>19</v>
      </c>
      <c r="N20" s="11" t="s">
        <v>20</v>
      </c>
    </row>
    <row r="21" spans="2:14" x14ac:dyDescent="0.25">
      <c r="B21" s="5" t="s">
        <v>56</v>
      </c>
      <c r="C21" s="2"/>
      <c r="D21" s="2" t="e">
        <f>C21/L21*100</f>
        <v>#DIV/0!</v>
      </c>
      <c r="E21" s="2" t="e">
        <f>C21/$C$27*100</f>
        <v>#DIV/0!</v>
      </c>
      <c r="F21" s="2" t="e">
        <f>C21/$L$27*100</f>
        <v>#DIV/0!</v>
      </c>
      <c r="G21" s="2"/>
      <c r="H21" s="2" t="e">
        <f>G21/L21*100</f>
        <v>#DIV/0!</v>
      </c>
      <c r="I21" s="2" t="e">
        <f>G21/$G$27*100</f>
        <v>#DIV/0!</v>
      </c>
      <c r="J21" s="2" t="e">
        <f>G21/$L$27*100</f>
        <v>#DIV/0!</v>
      </c>
      <c r="K21" s="2" t="e">
        <f>F21+J21</f>
        <v>#DIV/0!</v>
      </c>
      <c r="L21" s="2">
        <f>C21+G21</f>
        <v>0</v>
      </c>
      <c r="M21" s="2" t="e">
        <f>H21-D21</f>
        <v>#DIV/0!</v>
      </c>
      <c r="N21" s="2" t="e">
        <f>C21/G21</f>
        <v>#DIV/0!</v>
      </c>
    </row>
    <row r="22" spans="2:14" x14ac:dyDescent="0.25">
      <c r="B22" s="5" t="s">
        <v>57</v>
      </c>
      <c r="C22" s="2"/>
      <c r="D22" s="2" t="e">
        <f t="shared" ref="D22:D26" si="12">C22/L22*100</f>
        <v>#DIV/0!</v>
      </c>
      <c r="E22" s="2" t="e">
        <f t="shared" ref="E22:E26" si="13">C22/$C$27*100</f>
        <v>#DIV/0!</v>
      </c>
      <c r="F22" s="2" t="e">
        <f>C22/$L$27*100</f>
        <v>#DIV/0!</v>
      </c>
      <c r="G22" s="2"/>
      <c r="H22" s="2" t="e">
        <f t="shared" ref="H22:H26" si="14">G22/L22*100</f>
        <v>#DIV/0!</v>
      </c>
      <c r="I22" s="2" t="e">
        <f t="shared" ref="I22:I26" si="15">G22/$G$27*100</f>
        <v>#DIV/0!</v>
      </c>
      <c r="J22" s="2" t="e">
        <f t="shared" ref="J22:J26" si="16">G22/$L$27*100</f>
        <v>#DIV/0!</v>
      </c>
      <c r="K22" s="2" t="e">
        <f t="shared" ref="K22:K26" si="17">F22+J22</f>
        <v>#DIV/0!</v>
      </c>
      <c r="L22" s="2">
        <f t="shared" ref="L22:L26" si="18">C22+G22</f>
        <v>0</v>
      </c>
      <c r="M22" s="2" t="e">
        <f t="shared" ref="M22:M26" si="19">H22-D22</f>
        <v>#DIV/0!</v>
      </c>
      <c r="N22" s="2" t="e">
        <f t="shared" ref="N22:N26" si="20">C22/G22</f>
        <v>#DIV/0!</v>
      </c>
    </row>
    <row r="23" spans="2:14" ht="26.25" x14ac:dyDescent="0.25">
      <c r="B23" s="5" t="s">
        <v>58</v>
      </c>
      <c r="C23" s="2"/>
      <c r="D23" s="2" t="e">
        <f t="shared" si="12"/>
        <v>#DIV/0!</v>
      </c>
      <c r="E23" s="2" t="e">
        <f t="shared" si="13"/>
        <v>#DIV/0!</v>
      </c>
      <c r="F23" s="2" t="e">
        <f t="shared" ref="F23:F26" si="21">C23/$L$27*100</f>
        <v>#DIV/0!</v>
      </c>
      <c r="G23" s="2"/>
      <c r="H23" s="2" t="e">
        <f t="shared" si="14"/>
        <v>#DIV/0!</v>
      </c>
      <c r="I23" s="2" t="e">
        <f t="shared" si="15"/>
        <v>#DIV/0!</v>
      </c>
      <c r="J23" s="2" t="e">
        <f t="shared" si="16"/>
        <v>#DIV/0!</v>
      </c>
      <c r="K23" s="2" t="e">
        <f t="shared" si="17"/>
        <v>#DIV/0!</v>
      </c>
      <c r="L23" s="2">
        <f t="shared" si="18"/>
        <v>0</v>
      </c>
      <c r="M23" s="2" t="e">
        <f t="shared" si="19"/>
        <v>#DIV/0!</v>
      </c>
      <c r="N23" s="2" t="e">
        <f t="shared" si="20"/>
        <v>#DIV/0!</v>
      </c>
    </row>
    <row r="24" spans="2:14" x14ac:dyDescent="0.25">
      <c r="B24" s="5" t="s">
        <v>59</v>
      </c>
      <c r="C24" s="2"/>
      <c r="D24" s="2" t="e">
        <f t="shared" si="12"/>
        <v>#DIV/0!</v>
      </c>
      <c r="E24" s="2" t="e">
        <f t="shared" si="13"/>
        <v>#DIV/0!</v>
      </c>
      <c r="F24" s="2" t="e">
        <f t="shared" si="21"/>
        <v>#DIV/0!</v>
      </c>
      <c r="G24" s="2"/>
      <c r="H24" s="2" t="e">
        <f t="shared" si="14"/>
        <v>#DIV/0!</v>
      </c>
      <c r="I24" s="2" t="e">
        <f t="shared" si="15"/>
        <v>#DIV/0!</v>
      </c>
      <c r="J24" s="2" t="e">
        <f t="shared" si="16"/>
        <v>#DIV/0!</v>
      </c>
      <c r="K24" s="2" t="e">
        <f t="shared" si="17"/>
        <v>#DIV/0!</v>
      </c>
      <c r="L24" s="2">
        <f t="shared" si="18"/>
        <v>0</v>
      </c>
      <c r="M24" s="2" t="e">
        <f t="shared" si="19"/>
        <v>#DIV/0!</v>
      </c>
      <c r="N24" s="2" t="e">
        <f t="shared" si="20"/>
        <v>#DIV/0!</v>
      </c>
    </row>
    <row r="25" spans="2:14" ht="51.75" x14ac:dyDescent="0.25">
      <c r="B25" s="5" t="s">
        <v>60</v>
      </c>
      <c r="C25" s="2"/>
      <c r="D25" s="2" t="e">
        <f t="shared" si="12"/>
        <v>#DIV/0!</v>
      </c>
      <c r="E25" s="2" t="e">
        <f t="shared" si="13"/>
        <v>#DIV/0!</v>
      </c>
      <c r="F25" s="2" t="e">
        <f t="shared" si="21"/>
        <v>#DIV/0!</v>
      </c>
      <c r="G25" s="2"/>
      <c r="H25" s="2" t="e">
        <f t="shared" si="14"/>
        <v>#DIV/0!</v>
      </c>
      <c r="I25" s="2" t="e">
        <f t="shared" si="15"/>
        <v>#DIV/0!</v>
      </c>
      <c r="J25" s="2" t="e">
        <f t="shared" si="16"/>
        <v>#DIV/0!</v>
      </c>
      <c r="K25" s="2" t="e">
        <f t="shared" si="17"/>
        <v>#DIV/0!</v>
      </c>
      <c r="L25" s="2">
        <f t="shared" si="18"/>
        <v>0</v>
      </c>
      <c r="M25" s="2" t="e">
        <f t="shared" si="19"/>
        <v>#DIV/0!</v>
      </c>
      <c r="N25" s="2" t="e">
        <f t="shared" si="20"/>
        <v>#DIV/0!</v>
      </c>
    </row>
    <row r="26" spans="2:14" ht="26.25" x14ac:dyDescent="0.25">
      <c r="B26" s="5" t="s">
        <v>61</v>
      </c>
      <c r="C26" s="2"/>
      <c r="D26" s="2" t="e">
        <f t="shared" si="12"/>
        <v>#DIV/0!</v>
      </c>
      <c r="E26" s="2" t="e">
        <f t="shared" si="13"/>
        <v>#DIV/0!</v>
      </c>
      <c r="F26" s="2" t="e">
        <f t="shared" si="21"/>
        <v>#DIV/0!</v>
      </c>
      <c r="G26" s="2"/>
      <c r="H26" s="2" t="e">
        <f t="shared" si="14"/>
        <v>#DIV/0!</v>
      </c>
      <c r="I26" s="2" t="e">
        <f t="shared" si="15"/>
        <v>#DIV/0!</v>
      </c>
      <c r="J26" s="2" t="e">
        <f t="shared" si="16"/>
        <v>#DIV/0!</v>
      </c>
      <c r="K26" s="2" t="e">
        <f t="shared" si="17"/>
        <v>#DIV/0!</v>
      </c>
      <c r="L26" s="2">
        <f t="shared" si="18"/>
        <v>0</v>
      </c>
      <c r="M26" s="2" t="e">
        <f t="shared" si="19"/>
        <v>#DIV/0!</v>
      </c>
      <c r="N26" s="2" t="e">
        <f t="shared" si="20"/>
        <v>#DIV/0!</v>
      </c>
    </row>
    <row r="27" spans="2:14" x14ac:dyDescent="0.25">
      <c r="C27" s="2">
        <f>SUM(C21:C26)</f>
        <v>0</v>
      </c>
      <c r="D27" s="2"/>
      <c r="E27" s="2" t="e">
        <f>SUM(E21:E26)</f>
        <v>#DIV/0!</v>
      </c>
      <c r="F27" s="2" t="e">
        <f>SUM(F21:F26)</f>
        <v>#DIV/0!</v>
      </c>
      <c r="G27" s="2">
        <f>SUM(G21:G26)</f>
        <v>0</v>
      </c>
      <c r="H27" s="2"/>
      <c r="I27" s="2" t="e">
        <f>SUM(I21:I26)</f>
        <v>#DIV/0!</v>
      </c>
      <c r="J27" s="2" t="e">
        <f>SUM(J21:J26)</f>
        <v>#DIV/0!</v>
      </c>
      <c r="K27" s="2" t="e">
        <f>SUM(K21:K26)</f>
        <v>#DIV/0!</v>
      </c>
      <c r="L27" s="2">
        <f>SUM(L21:L26)</f>
        <v>0</v>
      </c>
      <c r="M27" s="2"/>
      <c r="N27" s="2"/>
    </row>
    <row r="31" spans="2:14" x14ac:dyDescent="0.25">
      <c r="D31" s="12" t="s">
        <v>12</v>
      </c>
      <c r="E31" s="12" t="s">
        <v>16</v>
      </c>
    </row>
    <row r="32" spans="2:14" x14ac:dyDescent="0.25">
      <c r="C32" s="5" t="s">
        <v>56</v>
      </c>
      <c r="D32" s="4">
        <f>C21</f>
        <v>0</v>
      </c>
      <c r="E32" s="4">
        <f>G21</f>
        <v>0</v>
      </c>
    </row>
    <row r="33" spans="3:5" x14ac:dyDescent="0.25">
      <c r="C33" s="5" t="s">
        <v>57</v>
      </c>
      <c r="D33" s="4">
        <f t="shared" ref="D33:D37" si="22">C22</f>
        <v>0</v>
      </c>
      <c r="E33" s="4">
        <f t="shared" ref="E33:E37" si="23">G22</f>
        <v>0</v>
      </c>
    </row>
    <row r="34" spans="3:5" ht="26.25" x14ac:dyDescent="0.25">
      <c r="C34" s="5" t="s">
        <v>58</v>
      </c>
      <c r="D34" s="4">
        <f t="shared" si="22"/>
        <v>0</v>
      </c>
      <c r="E34" s="4">
        <f t="shared" si="23"/>
        <v>0</v>
      </c>
    </row>
    <row r="35" spans="3:5" x14ac:dyDescent="0.25">
      <c r="C35" s="5" t="s">
        <v>59</v>
      </c>
      <c r="D35" s="4">
        <f t="shared" si="22"/>
        <v>0</v>
      </c>
      <c r="E35" s="4">
        <f t="shared" si="23"/>
        <v>0</v>
      </c>
    </row>
    <row r="36" spans="3:5" ht="51.75" x14ac:dyDescent="0.25">
      <c r="C36" s="5" t="s">
        <v>60</v>
      </c>
      <c r="D36" s="4">
        <f t="shared" si="22"/>
        <v>0</v>
      </c>
      <c r="E36" s="4">
        <f t="shared" si="23"/>
        <v>0</v>
      </c>
    </row>
    <row r="37" spans="3:5" ht="26.25" x14ac:dyDescent="0.25">
      <c r="C37" s="5" t="s">
        <v>61</v>
      </c>
      <c r="D37" s="4">
        <f t="shared" si="22"/>
        <v>0</v>
      </c>
      <c r="E37" s="4">
        <f t="shared" si="23"/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N11"/>
  <sheetViews>
    <sheetView workbookViewId="0">
      <selection activeCell="C8" sqref="C8:E11"/>
    </sheetView>
  </sheetViews>
  <sheetFormatPr baseColWidth="10" defaultRowHeight="15" x14ac:dyDescent="0.25"/>
  <cols>
    <col min="1" max="1" width="6.85546875" customWidth="1"/>
  </cols>
  <sheetData>
    <row r="2" spans="2:14" ht="45" x14ac:dyDescent="0.25">
      <c r="B2" s="11" t="s">
        <v>62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63</v>
      </c>
      <c r="C3" s="2"/>
      <c r="D3" s="2" t="e">
        <f>C3/L3*100</f>
        <v>#DIV/0!</v>
      </c>
      <c r="E3" s="2" t="e">
        <f>C3/$C$6*100</f>
        <v>#DIV/0!</v>
      </c>
      <c r="F3" s="2" t="e">
        <f>C3/$L$6*100</f>
        <v>#DIV/0!</v>
      </c>
      <c r="G3" s="2"/>
      <c r="H3" s="2" t="e">
        <f>G3/L3*100</f>
        <v>#DIV/0!</v>
      </c>
      <c r="I3" s="2" t="e">
        <f>G3/$G$6*100</f>
        <v>#DIV/0!</v>
      </c>
      <c r="J3" s="2" t="e">
        <f>G3/$L$6*100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39" x14ac:dyDescent="0.25">
      <c r="B4" s="5" t="s">
        <v>64</v>
      </c>
      <c r="C4" s="2"/>
      <c r="D4" s="2" t="e">
        <f t="shared" ref="D4:D5" si="0">C4/L4*100</f>
        <v>#DIV/0!</v>
      </c>
      <c r="E4" s="2" t="e">
        <f t="shared" ref="E4:E5" si="1">C4/$C$6*100</f>
        <v>#DIV/0!</v>
      </c>
      <c r="F4" s="2" t="e">
        <f t="shared" ref="F4:F5" si="2">C4/$L$6*100</f>
        <v>#DIV/0!</v>
      </c>
      <c r="G4" s="2"/>
      <c r="H4" s="2" t="e">
        <f t="shared" ref="H4:H5" si="3">G4/L4*100</f>
        <v>#DIV/0!</v>
      </c>
      <c r="I4" s="2" t="e">
        <f t="shared" ref="I4:I5" si="4">G4/$G$6*100</f>
        <v>#DIV/0!</v>
      </c>
      <c r="J4" s="2" t="e">
        <f t="shared" ref="J4:J5" si="5">G4/$L$6*100</f>
        <v>#DIV/0!</v>
      </c>
      <c r="K4" s="2" t="e">
        <f t="shared" ref="K4:K5" si="6">F4+J4</f>
        <v>#DIV/0!</v>
      </c>
      <c r="L4" s="2">
        <f t="shared" ref="L4:L5" si="7">C4+G4</f>
        <v>0</v>
      </c>
      <c r="M4" s="2" t="e">
        <f t="shared" ref="M4:M5" si="8">H4-D4</f>
        <v>#DIV/0!</v>
      </c>
      <c r="N4" s="2" t="e">
        <f t="shared" ref="N4:N5" si="9">C4/G4</f>
        <v>#DIV/0!</v>
      </c>
    </row>
    <row r="5" spans="2:14" ht="51.75" x14ac:dyDescent="0.25">
      <c r="B5" s="5" t="s">
        <v>65</v>
      </c>
      <c r="C5" s="2"/>
      <c r="D5" s="2" t="e">
        <f t="shared" si="0"/>
        <v>#DIV/0!</v>
      </c>
      <c r="E5" s="2" t="e">
        <f t="shared" si="1"/>
        <v>#DIV/0!</v>
      </c>
      <c r="F5" s="2" t="e">
        <f t="shared" si="2"/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x14ac:dyDescent="0.25">
      <c r="C6" s="2">
        <f>SUM(C3:C5)</f>
        <v>0</v>
      </c>
      <c r="D6" s="2"/>
      <c r="E6" s="2" t="e">
        <f>SUM(E3:E5)</f>
        <v>#DIV/0!</v>
      </c>
      <c r="F6" s="2" t="e">
        <f>SUM(F3:F5)</f>
        <v>#DIV/0!</v>
      </c>
      <c r="G6" s="2">
        <f>SUM(G3:G5)</f>
        <v>0</v>
      </c>
      <c r="H6" s="2"/>
      <c r="I6" s="2" t="e">
        <f>SUM(I3:I5)</f>
        <v>#DIV/0!</v>
      </c>
      <c r="J6" s="2" t="e">
        <f>SUM(J3:J5)</f>
        <v>#DIV/0!</v>
      </c>
      <c r="K6" s="2" t="e">
        <f>SUM(K3:K5)</f>
        <v>#DIV/0!</v>
      </c>
      <c r="L6" s="2">
        <f>SUM(L3:L5)</f>
        <v>0</v>
      </c>
      <c r="M6" s="2"/>
      <c r="N6" s="2"/>
    </row>
    <row r="8" spans="2:14" x14ac:dyDescent="0.25">
      <c r="D8" s="12" t="s">
        <v>12</v>
      </c>
      <c r="E8" s="12" t="s">
        <v>16</v>
      </c>
    </row>
    <row r="9" spans="2:14" ht="26.25" x14ac:dyDescent="0.25">
      <c r="C9" s="5" t="s">
        <v>63</v>
      </c>
      <c r="D9" s="4">
        <f>C3</f>
        <v>0</v>
      </c>
      <c r="E9" s="4">
        <f>G3</f>
        <v>0</v>
      </c>
    </row>
    <row r="10" spans="2:14" ht="39" x14ac:dyDescent="0.25">
      <c r="C10" s="5" t="s">
        <v>64</v>
      </c>
      <c r="D10" s="4">
        <f t="shared" ref="D10:D11" si="10">C4</f>
        <v>0</v>
      </c>
      <c r="E10" s="4">
        <f t="shared" ref="E10:E11" si="11">G4</f>
        <v>0</v>
      </c>
    </row>
    <row r="11" spans="2:14" ht="51.75" x14ac:dyDescent="0.25">
      <c r="C11" s="5" t="s">
        <v>65</v>
      </c>
      <c r="D11" s="4">
        <f t="shared" si="10"/>
        <v>0</v>
      </c>
      <c r="E11" s="4">
        <f t="shared" si="11"/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N9"/>
  <sheetViews>
    <sheetView workbookViewId="0">
      <selection activeCell="C7" sqref="C7:E9"/>
    </sheetView>
  </sheetViews>
  <sheetFormatPr baseColWidth="10" defaultRowHeight="15" x14ac:dyDescent="0.25"/>
  <cols>
    <col min="1" max="1" width="6.7109375" customWidth="1"/>
  </cols>
  <sheetData>
    <row r="2" spans="2:14" ht="45" x14ac:dyDescent="0.25">
      <c r="B2" s="11" t="s">
        <v>66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 t="s">
        <v>67</v>
      </c>
      <c r="C3" s="2"/>
      <c r="D3" s="2" t="e">
        <f>C3/L3*100</f>
        <v>#DIV/0!</v>
      </c>
      <c r="E3" s="2" t="e">
        <f>C3/$C$5*100</f>
        <v>#DIV/0!</v>
      </c>
      <c r="F3" s="2" t="e">
        <f>C3/$L$5*100</f>
        <v>#DIV/0!</v>
      </c>
      <c r="G3" s="2"/>
      <c r="H3" s="2" t="e">
        <f>G3/L3*100</f>
        <v>#DIV/0!</v>
      </c>
      <c r="I3" s="2" t="e">
        <f>G3/$G$5*100</f>
        <v>#DIV/0!</v>
      </c>
      <c r="J3" s="2" t="e">
        <f>G3/$L$5*100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B4" s="5" t="s">
        <v>68</v>
      </c>
      <c r="C4" s="2"/>
      <c r="D4" s="2" t="e">
        <f>C4/L4*100</f>
        <v>#DIV/0!</v>
      </c>
      <c r="E4" s="2" t="e">
        <f>C4/$C$5*100</f>
        <v>#DIV/0!</v>
      </c>
      <c r="F4" s="2" t="e">
        <f>C4/$L$5*100</f>
        <v>#DIV/0!</v>
      </c>
      <c r="G4" s="2"/>
      <c r="H4" s="2" t="e">
        <f>G4/L4*100</f>
        <v>#DIV/0!</v>
      </c>
      <c r="I4" s="2" t="e">
        <f>G4/$G$5*100</f>
        <v>#DIV/0!</v>
      </c>
      <c r="J4" s="2" t="e">
        <f>G4/$L$5*100</f>
        <v>#DIV/0!</v>
      </c>
      <c r="K4" s="2" t="e">
        <f t="shared" ref="K4" si="0">F4+J4</f>
        <v>#DIV/0!</v>
      </c>
      <c r="L4" s="2">
        <f t="shared" ref="L4" si="1">C4+G4</f>
        <v>0</v>
      </c>
      <c r="M4" s="2" t="e">
        <f t="shared" ref="M4" si="2">H4-D4</f>
        <v>#DIV/0!</v>
      </c>
      <c r="N4" s="2" t="e">
        <f t="shared" ref="N4" si="3">C4/G4</f>
        <v>#DIV/0!</v>
      </c>
    </row>
    <row r="5" spans="2:14" x14ac:dyDescent="0.25">
      <c r="C5" s="2">
        <f>SUM(C3:C4)</f>
        <v>0</v>
      </c>
      <c r="D5" s="2"/>
      <c r="E5" s="2" t="e">
        <f>SUM(E3:E4)</f>
        <v>#DIV/0!</v>
      </c>
      <c r="F5" s="2" t="e">
        <f>SUM(F3:F4)</f>
        <v>#DIV/0!</v>
      </c>
      <c r="G5" s="2">
        <f>SUM(G3:G4)</f>
        <v>0</v>
      </c>
      <c r="H5" s="2"/>
      <c r="I5" s="2" t="e">
        <f>SUM(I3:I4)</f>
        <v>#DIV/0!</v>
      </c>
      <c r="J5" s="2" t="e">
        <f>SUM(J3:J4)</f>
        <v>#DIV/0!</v>
      </c>
      <c r="K5" s="2" t="e">
        <f>SUM(K3:K4)</f>
        <v>#DIV/0!</v>
      </c>
      <c r="L5" s="2">
        <f>SUM(L3:L4)</f>
        <v>0</v>
      </c>
      <c r="M5" s="2"/>
      <c r="N5" s="2"/>
    </row>
    <row r="7" spans="2:14" x14ac:dyDescent="0.25">
      <c r="D7" s="12" t="s">
        <v>12</v>
      </c>
      <c r="E7" s="12" t="s">
        <v>16</v>
      </c>
    </row>
    <row r="8" spans="2:14" x14ac:dyDescent="0.25">
      <c r="C8" s="5" t="s">
        <v>67</v>
      </c>
      <c r="D8" s="4">
        <f>C3</f>
        <v>0</v>
      </c>
      <c r="E8" s="4">
        <f>G3</f>
        <v>0</v>
      </c>
    </row>
    <row r="9" spans="2:14" x14ac:dyDescent="0.25">
      <c r="C9" s="5" t="s">
        <v>68</v>
      </c>
      <c r="D9" s="4">
        <f>C4</f>
        <v>0</v>
      </c>
      <c r="E9" s="4">
        <f>G4</f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N7"/>
  <sheetViews>
    <sheetView workbookViewId="0">
      <selection activeCell="D4" sqref="D4"/>
    </sheetView>
  </sheetViews>
  <sheetFormatPr baseColWidth="10" defaultRowHeight="15" x14ac:dyDescent="0.25"/>
  <cols>
    <col min="1" max="1" width="6.28515625" customWidth="1"/>
  </cols>
  <sheetData>
    <row r="2" spans="2:14" ht="45" x14ac:dyDescent="0.25">
      <c r="B2" s="11" t="s">
        <v>69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C3/$C$4*100</f>
        <v>#DIV/0!</v>
      </c>
      <c r="F3" s="2" t="e">
        <f>C3/$L$4*100</f>
        <v>#DIV/0!</v>
      </c>
      <c r="G3" s="2"/>
      <c r="H3" s="2" t="e">
        <f>G3/L3*100</f>
        <v>#DIV/0!</v>
      </c>
      <c r="I3" s="2" t="e">
        <f>G3/$G$4*100</f>
        <v>#DIV/0!</v>
      </c>
      <c r="J3" s="2" t="e">
        <f>G3/$L$4*100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C4" s="2">
        <f>SUM(C3:C3)</f>
        <v>0</v>
      </c>
      <c r="D4" s="2"/>
      <c r="E4" s="2" t="e">
        <f>SUM(E3:E3)</f>
        <v>#DIV/0!</v>
      </c>
      <c r="F4" s="2" t="e">
        <f>SUM(F3:F3)</f>
        <v>#DIV/0!</v>
      </c>
      <c r="G4" s="2">
        <f>SUM(G3:G3)</f>
        <v>0</v>
      </c>
      <c r="H4" s="2"/>
      <c r="I4" s="2" t="e">
        <f>SUM(I3:I3)</f>
        <v>#DIV/0!</v>
      </c>
      <c r="J4" s="2" t="e">
        <f>SUM(J3:J3)</f>
        <v>#DIV/0!</v>
      </c>
      <c r="K4" s="2" t="e">
        <f>SUM(K3:K3)</f>
        <v>#DIV/0!</v>
      </c>
      <c r="L4" s="2">
        <f>SUM(L3:L3)</f>
        <v>0</v>
      </c>
      <c r="M4" s="2"/>
      <c r="N4" s="2"/>
    </row>
    <row r="6" spans="2:14" x14ac:dyDescent="0.25">
      <c r="D6" s="12" t="s">
        <v>12</v>
      </c>
      <c r="E6" s="12" t="s">
        <v>16</v>
      </c>
    </row>
    <row r="7" spans="2:14" x14ac:dyDescent="0.25">
      <c r="C7" s="5"/>
      <c r="D7" s="4">
        <f>C3</f>
        <v>0</v>
      </c>
      <c r="E7" s="4">
        <f>G3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N27"/>
  <sheetViews>
    <sheetView workbookViewId="0">
      <selection activeCell="I3" sqref="I3"/>
    </sheetView>
  </sheetViews>
  <sheetFormatPr baseColWidth="10" defaultRowHeight="15" x14ac:dyDescent="0.25"/>
  <cols>
    <col min="1" max="1" width="7" customWidth="1"/>
  </cols>
  <sheetData>
    <row r="2" spans="2:14" ht="45" x14ac:dyDescent="0.25">
      <c r="B2" s="11" t="s">
        <v>70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71</v>
      </c>
      <c r="C3" s="2"/>
      <c r="D3" s="2" t="e">
        <f>C3/L3*100</f>
        <v>#DIV/0!</v>
      </c>
      <c r="E3" s="2" t="e">
        <f>C3/$C$14*100</f>
        <v>#DIV/0!</v>
      </c>
      <c r="F3" s="2" t="e">
        <f>C3/$L$14*100</f>
        <v>#DIV/0!</v>
      </c>
      <c r="G3" s="2"/>
      <c r="H3" s="2" t="e">
        <f>G3/L3*100</f>
        <v>#DIV/0!</v>
      </c>
      <c r="I3" s="2" t="e">
        <f>G3/$G$14*100</f>
        <v>#DIV/0!</v>
      </c>
      <c r="J3" s="2" t="e">
        <f>G3/$L$14*100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26.25" x14ac:dyDescent="0.25">
      <c r="B4" s="5" t="s">
        <v>81</v>
      </c>
      <c r="C4" s="2"/>
      <c r="D4" s="2" t="e">
        <f t="shared" ref="D4:D13" si="0">C4/L4*100</f>
        <v>#DIV/0!</v>
      </c>
      <c r="E4" s="2" t="e">
        <f t="shared" ref="E4:E13" si="1">C4/$C$14*100</f>
        <v>#DIV/0!</v>
      </c>
      <c r="F4" s="2" t="e">
        <f t="shared" ref="F4:F13" si="2">C4/$L$14*100</f>
        <v>#DIV/0!</v>
      </c>
      <c r="G4" s="2"/>
      <c r="H4" s="2" t="e">
        <f t="shared" ref="H4:H13" si="3">G4/L4*100</f>
        <v>#DIV/0!</v>
      </c>
      <c r="I4" s="2" t="e">
        <f t="shared" ref="I4:I13" si="4">G4/$G$14*100</f>
        <v>#DIV/0!</v>
      </c>
      <c r="J4" s="2" t="e">
        <f t="shared" ref="J4:J13" si="5">G4/$L$14*100</f>
        <v>#DIV/0!</v>
      </c>
      <c r="K4" s="2" t="e">
        <f t="shared" ref="K4:K13" si="6">F4+J4</f>
        <v>#DIV/0!</v>
      </c>
      <c r="L4" s="2">
        <f t="shared" ref="L4:L13" si="7">C4+G4</f>
        <v>0</v>
      </c>
      <c r="M4" s="2" t="e">
        <f t="shared" ref="M4:M13" si="8">H4-D4</f>
        <v>#DIV/0!</v>
      </c>
      <c r="N4" s="2" t="e">
        <f t="shared" ref="N4:N13" si="9">C4/G4</f>
        <v>#DIV/0!</v>
      </c>
    </row>
    <row r="5" spans="2:14" ht="26.25" x14ac:dyDescent="0.25">
      <c r="B5" s="5" t="s">
        <v>72</v>
      </c>
      <c r="C5" s="2"/>
      <c r="D5" s="2" t="e">
        <f t="shared" si="0"/>
        <v>#DIV/0!</v>
      </c>
      <c r="E5" s="2" t="e">
        <f t="shared" si="1"/>
        <v>#DIV/0!</v>
      </c>
      <c r="F5" s="2" t="e">
        <f t="shared" si="2"/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ht="26.25" x14ac:dyDescent="0.25">
      <c r="B6" s="5" t="s">
        <v>73</v>
      </c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ht="26.25" x14ac:dyDescent="0.25">
      <c r="B7" s="5" t="s">
        <v>74</v>
      </c>
      <c r="C7" s="2"/>
      <c r="D7" s="2" t="e">
        <f t="shared" si="0"/>
        <v>#DIV/0!</v>
      </c>
      <c r="E7" s="2" t="e">
        <f t="shared" si="1"/>
        <v>#DIV/0!</v>
      </c>
      <c r="F7" s="2" t="e">
        <f t="shared" si="2"/>
        <v>#DIV/0!</v>
      </c>
      <c r="G7" s="2"/>
      <c r="H7" s="2" t="e">
        <f t="shared" si="3"/>
        <v>#DIV/0!</v>
      </c>
      <c r="I7" s="2" t="e">
        <f t="shared" si="4"/>
        <v>#DIV/0!</v>
      </c>
      <c r="J7" s="2" t="e">
        <f t="shared" si="5"/>
        <v>#DIV/0!</v>
      </c>
      <c r="K7" s="2" t="e">
        <f t="shared" si="6"/>
        <v>#DIV/0!</v>
      </c>
      <c r="L7" s="2">
        <f t="shared" si="7"/>
        <v>0</v>
      </c>
      <c r="M7" s="2" t="e">
        <f t="shared" si="8"/>
        <v>#DIV/0!</v>
      </c>
      <c r="N7" s="2" t="e">
        <f t="shared" si="9"/>
        <v>#DIV/0!</v>
      </c>
    </row>
    <row r="8" spans="2:14" ht="26.25" x14ac:dyDescent="0.25">
      <c r="B8" s="5" t="s">
        <v>75</v>
      </c>
      <c r="C8" s="2"/>
      <c r="D8" s="2" t="e">
        <f t="shared" si="0"/>
        <v>#DIV/0!</v>
      </c>
      <c r="E8" s="2" t="e">
        <f t="shared" si="1"/>
        <v>#DIV/0!</v>
      </c>
      <c r="F8" s="2" t="e">
        <f t="shared" si="2"/>
        <v>#DIV/0!</v>
      </c>
      <c r="G8" s="2"/>
      <c r="H8" s="2" t="e">
        <f t="shared" si="3"/>
        <v>#DIV/0!</v>
      </c>
      <c r="I8" s="2" t="e">
        <f t="shared" si="4"/>
        <v>#DIV/0!</v>
      </c>
      <c r="J8" s="2" t="e">
        <f t="shared" si="5"/>
        <v>#DIV/0!</v>
      </c>
      <c r="K8" s="2" t="e">
        <f t="shared" si="6"/>
        <v>#DIV/0!</v>
      </c>
      <c r="L8" s="2">
        <f t="shared" si="7"/>
        <v>0</v>
      </c>
      <c r="M8" s="2" t="e">
        <f t="shared" si="8"/>
        <v>#DIV/0!</v>
      </c>
      <c r="N8" s="2" t="e">
        <f t="shared" si="9"/>
        <v>#DIV/0!</v>
      </c>
    </row>
    <row r="9" spans="2:14" ht="26.25" x14ac:dyDescent="0.25">
      <c r="B9" s="5" t="s">
        <v>76</v>
      </c>
      <c r="C9" s="2"/>
      <c r="D9" s="2" t="e">
        <f t="shared" si="0"/>
        <v>#DIV/0!</v>
      </c>
      <c r="E9" s="2" t="e">
        <f t="shared" si="1"/>
        <v>#DIV/0!</v>
      </c>
      <c r="F9" s="2" t="e">
        <f t="shared" si="2"/>
        <v>#DIV/0!</v>
      </c>
      <c r="G9" s="2"/>
      <c r="H9" s="2" t="e">
        <f t="shared" si="3"/>
        <v>#DIV/0!</v>
      </c>
      <c r="I9" s="2" t="e">
        <f t="shared" si="4"/>
        <v>#DIV/0!</v>
      </c>
      <c r="J9" s="2" t="e">
        <f t="shared" si="5"/>
        <v>#DIV/0!</v>
      </c>
      <c r="K9" s="2" t="e">
        <f t="shared" si="6"/>
        <v>#DIV/0!</v>
      </c>
      <c r="L9" s="2">
        <f t="shared" si="7"/>
        <v>0</v>
      </c>
      <c r="M9" s="2" t="e">
        <f t="shared" si="8"/>
        <v>#DIV/0!</v>
      </c>
      <c r="N9" s="2" t="e">
        <f t="shared" si="9"/>
        <v>#DIV/0!</v>
      </c>
    </row>
    <row r="10" spans="2:14" ht="26.25" x14ac:dyDescent="0.25">
      <c r="B10" s="5" t="s">
        <v>77</v>
      </c>
      <c r="C10" s="2"/>
      <c r="D10" s="2" t="e">
        <f t="shared" si="0"/>
        <v>#DIV/0!</v>
      </c>
      <c r="E10" s="2" t="e">
        <f t="shared" si="1"/>
        <v>#DIV/0!</v>
      </c>
      <c r="F10" s="2" t="e">
        <f t="shared" si="2"/>
        <v>#DIV/0!</v>
      </c>
      <c r="G10" s="2"/>
      <c r="H10" s="2" t="e">
        <f t="shared" si="3"/>
        <v>#DIV/0!</v>
      </c>
      <c r="I10" s="2" t="e">
        <f t="shared" si="4"/>
        <v>#DIV/0!</v>
      </c>
      <c r="J10" s="2" t="e">
        <f t="shared" si="5"/>
        <v>#DIV/0!</v>
      </c>
      <c r="K10" s="2" t="e">
        <f t="shared" si="6"/>
        <v>#DIV/0!</v>
      </c>
      <c r="L10" s="2">
        <f t="shared" si="7"/>
        <v>0</v>
      </c>
      <c r="M10" s="2" t="e">
        <f t="shared" si="8"/>
        <v>#DIV/0!</v>
      </c>
      <c r="N10" s="2" t="e">
        <f t="shared" si="9"/>
        <v>#DIV/0!</v>
      </c>
    </row>
    <row r="11" spans="2:14" ht="26.25" x14ac:dyDescent="0.25">
      <c r="B11" s="5" t="s">
        <v>78</v>
      </c>
      <c r="C11" s="2"/>
      <c r="D11" s="2" t="e">
        <f t="shared" si="0"/>
        <v>#DIV/0!</v>
      </c>
      <c r="E11" s="2" t="e">
        <f t="shared" si="1"/>
        <v>#DIV/0!</v>
      </c>
      <c r="F11" s="2" t="e">
        <f t="shared" si="2"/>
        <v>#DIV/0!</v>
      </c>
      <c r="G11" s="2"/>
      <c r="H11" s="2" t="e">
        <f t="shared" si="3"/>
        <v>#DIV/0!</v>
      </c>
      <c r="I11" s="2" t="e">
        <f t="shared" si="4"/>
        <v>#DIV/0!</v>
      </c>
      <c r="J11" s="2" t="e">
        <f t="shared" si="5"/>
        <v>#DIV/0!</v>
      </c>
      <c r="K11" s="2" t="e">
        <f t="shared" si="6"/>
        <v>#DIV/0!</v>
      </c>
      <c r="L11" s="2">
        <f t="shared" si="7"/>
        <v>0</v>
      </c>
      <c r="M11" s="2" t="e">
        <f t="shared" si="8"/>
        <v>#DIV/0!</v>
      </c>
      <c r="N11" s="2" t="e">
        <f t="shared" si="9"/>
        <v>#DIV/0!</v>
      </c>
    </row>
    <row r="12" spans="2:14" ht="39" x14ac:dyDescent="0.25">
      <c r="B12" s="5" t="s">
        <v>79</v>
      </c>
      <c r="C12" s="2"/>
      <c r="D12" s="2" t="e">
        <f t="shared" si="0"/>
        <v>#DIV/0!</v>
      </c>
      <c r="E12" s="2" t="e">
        <f t="shared" si="1"/>
        <v>#DIV/0!</v>
      </c>
      <c r="F12" s="2" t="e">
        <f t="shared" si="2"/>
        <v>#DIV/0!</v>
      </c>
      <c r="G12" s="2"/>
      <c r="H12" s="2" t="e">
        <f t="shared" si="3"/>
        <v>#DIV/0!</v>
      </c>
      <c r="I12" s="2" t="e">
        <f t="shared" si="4"/>
        <v>#DIV/0!</v>
      </c>
      <c r="J12" s="2" t="e">
        <f t="shared" si="5"/>
        <v>#DIV/0!</v>
      </c>
      <c r="K12" s="2" t="e">
        <f t="shared" si="6"/>
        <v>#DIV/0!</v>
      </c>
      <c r="L12" s="2">
        <f t="shared" si="7"/>
        <v>0</v>
      </c>
      <c r="M12" s="2" t="e">
        <f t="shared" si="8"/>
        <v>#DIV/0!</v>
      </c>
      <c r="N12" s="2" t="e">
        <f t="shared" si="9"/>
        <v>#DIV/0!</v>
      </c>
    </row>
    <row r="13" spans="2:14" ht="39" x14ac:dyDescent="0.25">
      <c r="B13" s="5" t="s">
        <v>80</v>
      </c>
      <c r="C13" s="2"/>
      <c r="D13" s="2" t="e">
        <f t="shared" si="0"/>
        <v>#DIV/0!</v>
      </c>
      <c r="E13" s="2" t="e">
        <f t="shared" si="1"/>
        <v>#DIV/0!</v>
      </c>
      <c r="F13" s="2" t="e">
        <f t="shared" si="2"/>
        <v>#DIV/0!</v>
      </c>
      <c r="G13" s="2"/>
      <c r="H13" s="2" t="e">
        <f t="shared" si="3"/>
        <v>#DIV/0!</v>
      </c>
      <c r="I13" s="2" t="e">
        <f t="shared" si="4"/>
        <v>#DIV/0!</v>
      </c>
      <c r="J13" s="2" t="e">
        <f t="shared" si="5"/>
        <v>#DIV/0!</v>
      </c>
      <c r="K13" s="2" t="e">
        <f t="shared" si="6"/>
        <v>#DIV/0!</v>
      </c>
      <c r="L13" s="2">
        <f t="shared" si="7"/>
        <v>0</v>
      </c>
      <c r="M13" s="2" t="e">
        <f t="shared" si="8"/>
        <v>#DIV/0!</v>
      </c>
      <c r="N13" s="2" t="e">
        <f t="shared" si="9"/>
        <v>#DIV/0!</v>
      </c>
    </row>
    <row r="14" spans="2:14" x14ac:dyDescent="0.25">
      <c r="C14" s="2">
        <f>SUM(C3:C13)</f>
        <v>0</v>
      </c>
      <c r="D14" s="2"/>
      <c r="E14" s="2" t="e">
        <f>SUM(E3:E13)</f>
        <v>#DIV/0!</v>
      </c>
      <c r="F14" s="2" t="e">
        <f>SUM(F3:F13)</f>
        <v>#DIV/0!</v>
      </c>
      <c r="G14" s="2">
        <f>SUM(G3:G13)</f>
        <v>0</v>
      </c>
      <c r="H14" s="2"/>
      <c r="I14" s="2" t="e">
        <f>SUM(I3:I13)</f>
        <v>#DIV/0!</v>
      </c>
      <c r="J14" s="2" t="e">
        <f>SUM(J3:J13)</f>
        <v>#DIV/0!</v>
      </c>
      <c r="K14" s="2" t="e">
        <f>SUM(K3:K13)</f>
        <v>#DIV/0!</v>
      </c>
      <c r="L14" s="2">
        <f>SUM(L3:L13)</f>
        <v>0</v>
      </c>
      <c r="M14" s="2"/>
      <c r="N14" s="2"/>
    </row>
    <row r="16" spans="2:14" x14ac:dyDescent="0.25">
      <c r="D16" s="12" t="s">
        <v>12</v>
      </c>
      <c r="E16" s="12" t="s">
        <v>16</v>
      </c>
    </row>
    <row r="17" spans="3:5" ht="25.5" x14ac:dyDescent="0.25">
      <c r="C17" s="7" t="s">
        <v>71</v>
      </c>
      <c r="D17" s="4">
        <f>C3</f>
        <v>0</v>
      </c>
      <c r="E17" s="4">
        <f>G3</f>
        <v>0</v>
      </c>
    </row>
    <row r="18" spans="3:5" ht="25.5" x14ac:dyDescent="0.25">
      <c r="C18" s="7" t="s">
        <v>81</v>
      </c>
      <c r="D18" s="4">
        <f t="shared" ref="D18:D27" si="10">C4</f>
        <v>0</v>
      </c>
      <c r="E18" s="4">
        <f t="shared" ref="E18:E27" si="11">G4</f>
        <v>0</v>
      </c>
    </row>
    <row r="19" spans="3:5" ht="25.5" x14ac:dyDescent="0.25">
      <c r="C19" s="7" t="s">
        <v>72</v>
      </c>
      <c r="D19" s="4">
        <f t="shared" si="10"/>
        <v>0</v>
      </c>
      <c r="E19" s="4">
        <f t="shared" si="11"/>
        <v>0</v>
      </c>
    </row>
    <row r="20" spans="3:5" ht="25.5" x14ac:dyDescent="0.25">
      <c r="C20" s="7" t="s">
        <v>73</v>
      </c>
      <c r="D20" s="4">
        <f t="shared" si="10"/>
        <v>0</v>
      </c>
      <c r="E20" s="4">
        <f t="shared" si="11"/>
        <v>0</v>
      </c>
    </row>
    <row r="21" spans="3:5" ht="25.5" x14ac:dyDescent="0.25">
      <c r="C21" s="7" t="s">
        <v>74</v>
      </c>
      <c r="D21" s="4">
        <f t="shared" si="10"/>
        <v>0</v>
      </c>
      <c r="E21" s="4">
        <f t="shared" si="11"/>
        <v>0</v>
      </c>
    </row>
    <row r="22" spans="3:5" ht="25.5" x14ac:dyDescent="0.25">
      <c r="C22" s="7" t="s">
        <v>75</v>
      </c>
      <c r="D22" s="4">
        <f t="shared" si="10"/>
        <v>0</v>
      </c>
      <c r="E22" s="4">
        <f t="shared" si="11"/>
        <v>0</v>
      </c>
    </row>
    <row r="23" spans="3:5" ht="25.5" x14ac:dyDescent="0.25">
      <c r="C23" s="7" t="s">
        <v>76</v>
      </c>
      <c r="D23" s="4">
        <f t="shared" si="10"/>
        <v>0</v>
      </c>
      <c r="E23" s="4">
        <f t="shared" si="11"/>
        <v>0</v>
      </c>
    </row>
    <row r="24" spans="3:5" ht="25.5" x14ac:dyDescent="0.25">
      <c r="C24" s="7" t="s">
        <v>77</v>
      </c>
      <c r="D24" s="4">
        <f t="shared" si="10"/>
        <v>0</v>
      </c>
      <c r="E24" s="4">
        <f t="shared" si="11"/>
        <v>0</v>
      </c>
    </row>
    <row r="25" spans="3:5" ht="25.5" x14ac:dyDescent="0.25">
      <c r="C25" s="7" t="s">
        <v>78</v>
      </c>
      <c r="D25" s="4">
        <f t="shared" si="10"/>
        <v>0</v>
      </c>
      <c r="E25" s="4">
        <f t="shared" si="11"/>
        <v>0</v>
      </c>
    </row>
    <row r="26" spans="3:5" ht="38.25" x14ac:dyDescent="0.25">
      <c r="C26" s="7" t="s">
        <v>79</v>
      </c>
      <c r="D26" s="4">
        <f t="shared" si="10"/>
        <v>0</v>
      </c>
      <c r="E26" s="4">
        <f t="shared" si="11"/>
        <v>0</v>
      </c>
    </row>
    <row r="27" spans="3:5" ht="38.25" x14ac:dyDescent="0.25">
      <c r="C27" s="7" t="s">
        <v>80</v>
      </c>
      <c r="D27" s="4">
        <f t="shared" si="10"/>
        <v>0</v>
      </c>
      <c r="E27" s="4">
        <f t="shared" si="11"/>
        <v>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N16"/>
  <sheetViews>
    <sheetView workbookViewId="0">
      <selection activeCell="C11" sqref="C11:E16"/>
    </sheetView>
  </sheetViews>
  <sheetFormatPr baseColWidth="10" defaultRowHeight="15" x14ac:dyDescent="0.25"/>
  <cols>
    <col min="1" max="1" width="6.85546875" customWidth="1"/>
    <col min="2" max="2" width="16.28515625" customWidth="1"/>
  </cols>
  <sheetData>
    <row r="3" spans="2:14" ht="45" x14ac:dyDescent="0.25">
      <c r="B3" s="11" t="s">
        <v>82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13</v>
      </c>
      <c r="I3" s="11" t="s">
        <v>14</v>
      </c>
      <c r="J3" s="11" t="s">
        <v>17</v>
      </c>
      <c r="K3" s="11" t="s">
        <v>18</v>
      </c>
      <c r="L3" s="11" t="s">
        <v>21</v>
      </c>
      <c r="M3" s="11" t="s">
        <v>19</v>
      </c>
      <c r="N3" s="11" t="s">
        <v>20</v>
      </c>
    </row>
    <row r="4" spans="2:14" x14ac:dyDescent="0.25">
      <c r="B4" s="6" t="s">
        <v>83</v>
      </c>
      <c r="C4" s="2"/>
      <c r="D4" s="2" t="e">
        <f>C4/L4*100</f>
        <v>#DIV/0!</v>
      </c>
      <c r="E4" s="2" t="e">
        <f>C4/$C$9*100</f>
        <v>#DIV/0!</v>
      </c>
      <c r="F4" s="2" t="e">
        <f>C4/$L$9*100</f>
        <v>#DIV/0!</v>
      </c>
      <c r="G4" s="2"/>
      <c r="H4" s="2" t="e">
        <f>G4/L4*100</f>
        <v>#DIV/0!</v>
      </c>
      <c r="I4" s="2" t="e">
        <f>G4/$G$9*100</f>
        <v>#DIV/0!</v>
      </c>
      <c r="J4" s="2" t="e">
        <f>G4/$L$9*100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2:14" x14ac:dyDescent="0.25">
      <c r="B5" s="6" t="s">
        <v>84</v>
      </c>
      <c r="C5" s="2"/>
      <c r="D5" s="2" t="e">
        <f t="shared" ref="D5:D8" si="0">C5/L5*100</f>
        <v>#DIV/0!</v>
      </c>
      <c r="E5" s="2" t="e">
        <f>C5/$C$9*100</f>
        <v>#DIV/0!</v>
      </c>
      <c r="F5" s="2" t="e">
        <f>C5/$L$9*100</f>
        <v>#DIV/0!</v>
      </c>
      <c r="G5" s="2"/>
      <c r="H5" s="2" t="e">
        <f t="shared" ref="H5:H8" si="1">G5/L5*100</f>
        <v>#DIV/0!</v>
      </c>
      <c r="I5" s="2" t="e">
        <f>G5/$G$9*100</f>
        <v>#DIV/0!</v>
      </c>
      <c r="J5" s="2" t="e">
        <f>G5/$L$9*100</f>
        <v>#DIV/0!</v>
      </c>
      <c r="K5" s="2" t="e">
        <f t="shared" ref="K5:K8" si="2">F5+J5</f>
        <v>#DIV/0!</v>
      </c>
      <c r="L5" s="2">
        <f t="shared" ref="L5:L8" si="3">C5+G5</f>
        <v>0</v>
      </c>
      <c r="M5" s="2" t="e">
        <f t="shared" ref="M5:M8" si="4">H5-D5</f>
        <v>#DIV/0!</v>
      </c>
      <c r="N5" s="2" t="e">
        <f t="shared" ref="N5:N8" si="5">C5/G5</f>
        <v>#DIV/0!</v>
      </c>
    </row>
    <row r="6" spans="2:14" x14ac:dyDescent="0.25">
      <c r="B6" s="6" t="s">
        <v>85</v>
      </c>
      <c r="C6" s="2"/>
      <c r="D6" s="2" t="e">
        <f t="shared" si="0"/>
        <v>#DIV/0!</v>
      </c>
      <c r="E6" s="2" t="e">
        <f>C6/$C$9*100</f>
        <v>#DIV/0!</v>
      </c>
      <c r="F6" s="2" t="e">
        <f>C6/$L$9*100</f>
        <v>#DIV/0!</v>
      </c>
      <c r="G6" s="2"/>
      <c r="H6" s="2" t="e">
        <f t="shared" si="1"/>
        <v>#DIV/0!</v>
      </c>
      <c r="I6" s="2" t="e">
        <f>G6/$G$9*100</f>
        <v>#DIV/0!</v>
      </c>
      <c r="J6" s="2" t="e">
        <f>G6/$L$9*100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x14ac:dyDescent="0.25">
      <c r="B7" s="6" t="s">
        <v>86</v>
      </c>
      <c r="C7" s="2"/>
      <c r="D7" s="2" t="e">
        <f t="shared" si="0"/>
        <v>#DIV/0!</v>
      </c>
      <c r="E7" s="2" t="e">
        <f>C7/$C$9*100</f>
        <v>#DIV/0!</v>
      </c>
      <c r="F7" s="2" t="e">
        <f>C7/$L$9*100</f>
        <v>#DIV/0!</v>
      </c>
      <c r="G7" s="2"/>
      <c r="H7" s="2" t="e">
        <f t="shared" si="1"/>
        <v>#DIV/0!</v>
      </c>
      <c r="I7" s="2" t="e">
        <f>G7/$G$9*100</f>
        <v>#DIV/0!</v>
      </c>
      <c r="J7" s="2" t="e">
        <f>G7/$L$9*100</f>
        <v>#DIV/0!</v>
      </c>
      <c r="K7" s="2" t="e">
        <f t="shared" si="2"/>
        <v>#DIV/0!</v>
      </c>
      <c r="L7" s="2">
        <f t="shared" si="3"/>
        <v>0</v>
      </c>
      <c r="M7" s="2" t="e">
        <f t="shared" si="4"/>
        <v>#DIV/0!</v>
      </c>
      <c r="N7" s="2" t="e">
        <f t="shared" si="5"/>
        <v>#DIV/0!</v>
      </c>
    </row>
    <row r="8" spans="2:14" x14ac:dyDescent="0.25">
      <c r="B8" s="5" t="s">
        <v>87</v>
      </c>
      <c r="C8" s="2"/>
      <c r="D8" s="2" t="e">
        <f t="shared" si="0"/>
        <v>#DIV/0!</v>
      </c>
      <c r="E8" s="2" t="e">
        <f>C8/$C$9*100</f>
        <v>#DIV/0!</v>
      </c>
      <c r="F8" s="2" t="e">
        <f>C8/$L$9*100</f>
        <v>#DIV/0!</v>
      </c>
      <c r="G8" s="2"/>
      <c r="H8" s="2" t="e">
        <f t="shared" si="1"/>
        <v>#DIV/0!</v>
      </c>
      <c r="I8" s="2" t="e">
        <f>G8/$G$9*100</f>
        <v>#DIV/0!</v>
      </c>
      <c r="J8" s="2" t="e">
        <f>G8/$L$9*100</f>
        <v>#DIV/0!</v>
      </c>
      <c r="K8" s="2" t="e">
        <f t="shared" si="2"/>
        <v>#DIV/0!</v>
      </c>
      <c r="L8" s="2">
        <f t="shared" si="3"/>
        <v>0</v>
      </c>
      <c r="M8" s="2" t="e">
        <f t="shared" si="4"/>
        <v>#DIV/0!</v>
      </c>
      <c r="N8" s="2" t="e">
        <f t="shared" si="5"/>
        <v>#DIV/0!</v>
      </c>
    </row>
    <row r="9" spans="2:14" x14ac:dyDescent="0.25">
      <c r="C9" s="2">
        <f>SUM(C4:C8)</f>
        <v>0</v>
      </c>
      <c r="D9" s="2"/>
      <c r="E9" s="2" t="e">
        <f>SUM(E4:E8)</f>
        <v>#DIV/0!</v>
      </c>
      <c r="F9" s="2" t="e">
        <f>SUM(F4:F8)</f>
        <v>#DIV/0!</v>
      </c>
      <c r="G9" s="2">
        <f>SUM(G4:G8)</f>
        <v>0</v>
      </c>
      <c r="H9" s="2"/>
      <c r="I9" s="2" t="e">
        <f>SUM(I4:I8)</f>
        <v>#DIV/0!</v>
      </c>
      <c r="J9" s="2" t="e">
        <f>SUM(J4:J8)</f>
        <v>#DIV/0!</v>
      </c>
      <c r="K9" s="2" t="e">
        <f>SUM(K4:K8)</f>
        <v>#DIV/0!</v>
      </c>
      <c r="L9" s="2">
        <f>SUM(L4:L8)</f>
        <v>0</v>
      </c>
      <c r="M9" s="2"/>
      <c r="N9" s="2"/>
    </row>
    <row r="11" spans="2:14" x14ac:dyDescent="0.25">
      <c r="D11" s="14" t="s">
        <v>12</v>
      </c>
      <c r="E11" s="14" t="s">
        <v>16</v>
      </c>
    </row>
    <row r="12" spans="2:14" x14ac:dyDescent="0.25">
      <c r="C12" s="8" t="s">
        <v>83</v>
      </c>
      <c r="D12" s="2">
        <f>C4</f>
        <v>0</v>
      </c>
      <c r="E12" s="2">
        <f>G4</f>
        <v>0</v>
      </c>
    </row>
    <row r="13" spans="2:14" ht="25.5" x14ac:dyDescent="0.25">
      <c r="C13" s="8" t="s">
        <v>84</v>
      </c>
      <c r="D13" s="2">
        <f t="shared" ref="D13:D16" si="6">C5</f>
        <v>0</v>
      </c>
      <c r="E13" s="2">
        <f t="shared" ref="E13:E16" si="7">G5</f>
        <v>0</v>
      </c>
    </row>
    <row r="14" spans="2:14" ht="25.5" x14ac:dyDescent="0.25">
      <c r="C14" s="8" t="s">
        <v>85</v>
      </c>
      <c r="D14" s="2">
        <f t="shared" si="6"/>
        <v>0</v>
      </c>
      <c r="E14" s="2">
        <f t="shared" si="7"/>
        <v>0</v>
      </c>
    </row>
    <row r="15" spans="2:14" ht="25.5" x14ac:dyDescent="0.25">
      <c r="C15" s="8" t="s">
        <v>86</v>
      </c>
      <c r="D15" s="2">
        <f t="shared" si="6"/>
        <v>0</v>
      </c>
      <c r="E15" s="2">
        <f t="shared" si="7"/>
        <v>0</v>
      </c>
    </row>
    <row r="16" spans="2:14" ht="26.25" x14ac:dyDescent="0.25">
      <c r="C16" s="9" t="s">
        <v>87</v>
      </c>
      <c r="D16" s="2">
        <f t="shared" si="6"/>
        <v>0</v>
      </c>
      <c r="E16" s="2">
        <f t="shared" si="7"/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B2:N25"/>
  <sheetViews>
    <sheetView tabSelected="1" workbookViewId="0">
      <selection activeCell="B13" sqref="B13"/>
    </sheetView>
  </sheetViews>
  <sheetFormatPr baseColWidth="10" defaultRowHeight="15" x14ac:dyDescent="0.25"/>
  <cols>
    <col min="1" max="1" width="5.28515625" customWidth="1"/>
    <col min="2" max="3" width="15.140625" bestFit="1" customWidth="1"/>
  </cols>
  <sheetData>
    <row r="2" spans="2:14" ht="45" x14ac:dyDescent="0.25">
      <c r="B2" s="11" t="s">
        <v>30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3" t="s">
        <v>0</v>
      </c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B4" s="3" t="s">
        <v>1</v>
      </c>
      <c r="C4" s="2"/>
      <c r="D4" s="2" t="e">
        <f t="shared" ref="D4:D12" si="0">C4/L4*100</f>
        <v>#DIV/0!</v>
      </c>
      <c r="E4" s="2" t="e">
        <f>C4/$C$13*100</f>
        <v>#DIV/0!</v>
      </c>
      <c r="F4" s="2" t="e">
        <f>C4/$L$13*100</f>
        <v>#DIV/0!</v>
      </c>
      <c r="G4" s="2"/>
      <c r="H4" s="2" t="e">
        <f t="shared" ref="H4:H12" si="1">G4/L4*100</f>
        <v>#DIV/0!</v>
      </c>
      <c r="I4" s="2" t="e">
        <f>G4/$G$13*100</f>
        <v>#DIV/0!</v>
      </c>
      <c r="J4" s="2" t="e">
        <f>G4/$L$13*100</f>
        <v>#DIV/0!</v>
      </c>
      <c r="K4" s="2" t="e">
        <f t="shared" ref="K4:K12" si="2">F4+J4</f>
        <v>#DIV/0!</v>
      </c>
      <c r="L4" s="2">
        <f t="shared" ref="L4:L12" si="3">C4+G4</f>
        <v>0</v>
      </c>
      <c r="M4" s="2" t="e">
        <f t="shared" ref="M4:M12" si="4">H4-D4</f>
        <v>#DIV/0!</v>
      </c>
      <c r="N4" s="2" t="e">
        <f t="shared" ref="N4:N12" si="5">C4/G4</f>
        <v>#DIV/0!</v>
      </c>
    </row>
    <row r="5" spans="2:14" x14ac:dyDescent="0.25">
      <c r="B5" s="3" t="s">
        <v>2</v>
      </c>
      <c r="C5" s="2"/>
      <c r="D5" s="2" t="e">
        <f t="shared" si="0"/>
        <v>#DIV/0!</v>
      </c>
      <c r="E5" s="2" t="e">
        <f>C5/$C$13*100</f>
        <v>#DIV/0!</v>
      </c>
      <c r="F5" s="2" t="e">
        <f>C5/$L$13*100</f>
        <v>#DIV/0!</v>
      </c>
      <c r="G5" s="2"/>
      <c r="H5" s="2" t="e">
        <f t="shared" si="1"/>
        <v>#DIV/0!</v>
      </c>
      <c r="I5" s="2" t="e">
        <f>G5/$G$13*100</f>
        <v>#DIV/0!</v>
      </c>
      <c r="J5" s="2" t="e">
        <f>G5/$L$13*100</f>
        <v>#DIV/0!</v>
      </c>
      <c r="K5" s="2" t="e">
        <f t="shared" si="2"/>
        <v>#DIV/0!</v>
      </c>
      <c r="L5" s="2">
        <f t="shared" si="3"/>
        <v>0</v>
      </c>
      <c r="M5" s="2" t="e">
        <f t="shared" si="4"/>
        <v>#DIV/0!</v>
      </c>
      <c r="N5" s="2" t="e">
        <f t="shared" si="5"/>
        <v>#DIV/0!</v>
      </c>
    </row>
    <row r="6" spans="2:14" x14ac:dyDescent="0.25">
      <c r="B6" s="3" t="s">
        <v>3</v>
      </c>
      <c r="C6" s="2"/>
      <c r="D6" s="2" t="e">
        <f t="shared" si="0"/>
        <v>#DIV/0!</v>
      </c>
      <c r="E6" s="2" t="e">
        <f>C6/$C$13*100</f>
        <v>#DIV/0!</v>
      </c>
      <c r="F6" s="2" t="e">
        <f>C6/$L$13*100</f>
        <v>#DIV/0!</v>
      </c>
      <c r="G6" s="2"/>
      <c r="H6" s="2" t="e">
        <f t="shared" si="1"/>
        <v>#DIV/0!</v>
      </c>
      <c r="I6" s="2" t="e">
        <f>G6/$G$13*100</f>
        <v>#DIV/0!</v>
      </c>
      <c r="J6" s="2" t="e">
        <f>G6/$L$13*100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x14ac:dyDescent="0.25">
      <c r="B7" s="3" t="s">
        <v>4</v>
      </c>
      <c r="C7" s="2"/>
      <c r="D7" s="2" t="e">
        <f t="shared" si="0"/>
        <v>#DIV/0!</v>
      </c>
      <c r="E7" s="2" t="e">
        <f>C7/$C$13*100</f>
        <v>#DIV/0!</v>
      </c>
      <c r="F7" s="2" t="e">
        <f>C7/$L$13*100</f>
        <v>#DIV/0!</v>
      </c>
      <c r="G7" s="2"/>
      <c r="H7" s="2" t="e">
        <f t="shared" si="1"/>
        <v>#DIV/0!</v>
      </c>
      <c r="I7" s="2" t="e">
        <f>G7/$G$13*100</f>
        <v>#DIV/0!</v>
      </c>
      <c r="J7" s="2" t="e">
        <f>G7/$L$13*100</f>
        <v>#DIV/0!</v>
      </c>
      <c r="K7" s="2" t="e">
        <f t="shared" si="2"/>
        <v>#DIV/0!</v>
      </c>
      <c r="L7" s="2">
        <f t="shared" si="3"/>
        <v>0</v>
      </c>
      <c r="M7" s="2" t="e">
        <f t="shared" si="4"/>
        <v>#DIV/0!</v>
      </c>
      <c r="N7" s="2" t="e">
        <f t="shared" si="5"/>
        <v>#DIV/0!</v>
      </c>
    </row>
    <row r="8" spans="2:14" x14ac:dyDescent="0.25">
      <c r="B8" s="3" t="s">
        <v>5</v>
      </c>
      <c r="C8" s="2"/>
      <c r="D8" s="2" t="e">
        <f t="shared" si="0"/>
        <v>#DIV/0!</v>
      </c>
      <c r="E8" s="2" t="e">
        <f>C8/$C$13*100</f>
        <v>#DIV/0!</v>
      </c>
      <c r="F8" s="2" t="e">
        <f>C8/$L$13*100</f>
        <v>#DIV/0!</v>
      </c>
      <c r="G8" s="2"/>
      <c r="H8" s="2" t="e">
        <f t="shared" si="1"/>
        <v>#DIV/0!</v>
      </c>
      <c r="I8" s="2" t="e">
        <f>G8/$G$13*100</f>
        <v>#DIV/0!</v>
      </c>
      <c r="J8" s="2" t="e">
        <f>G8/$L$13*100</f>
        <v>#DIV/0!</v>
      </c>
      <c r="K8" s="2" t="e">
        <f t="shared" si="2"/>
        <v>#DIV/0!</v>
      </c>
      <c r="L8" s="2">
        <f t="shared" si="3"/>
        <v>0</v>
      </c>
      <c r="M8" s="2" t="e">
        <f t="shared" si="4"/>
        <v>#DIV/0!</v>
      </c>
      <c r="N8" s="2" t="e">
        <f t="shared" si="5"/>
        <v>#DIV/0!</v>
      </c>
    </row>
    <row r="9" spans="2:14" x14ac:dyDescent="0.25">
      <c r="B9" s="3" t="s">
        <v>6</v>
      </c>
      <c r="C9" s="2"/>
      <c r="D9" s="2" t="e">
        <f t="shared" si="0"/>
        <v>#DIV/0!</v>
      </c>
      <c r="E9" s="2" t="e">
        <f>C9/$C$13*100</f>
        <v>#DIV/0!</v>
      </c>
      <c r="F9" s="2" t="e">
        <f>C9/$L$13*100</f>
        <v>#DIV/0!</v>
      </c>
      <c r="G9" s="2"/>
      <c r="H9" s="2" t="e">
        <f t="shared" si="1"/>
        <v>#DIV/0!</v>
      </c>
      <c r="I9" s="2" t="e">
        <f>G9/$G$13*100</f>
        <v>#DIV/0!</v>
      </c>
      <c r="J9" s="2" t="e">
        <f>G9/$L$13*100</f>
        <v>#DIV/0!</v>
      </c>
      <c r="K9" s="2" t="e">
        <f t="shared" si="2"/>
        <v>#DIV/0!</v>
      </c>
      <c r="L9" s="2">
        <f t="shared" si="3"/>
        <v>0</v>
      </c>
      <c r="M9" s="2" t="e">
        <f t="shared" si="4"/>
        <v>#DIV/0!</v>
      </c>
      <c r="N9" s="2" t="e">
        <f t="shared" si="5"/>
        <v>#DIV/0!</v>
      </c>
    </row>
    <row r="10" spans="2:14" x14ac:dyDescent="0.25">
      <c r="B10" s="3" t="s">
        <v>7</v>
      </c>
      <c r="C10" s="2"/>
      <c r="D10" s="2" t="e">
        <f t="shared" si="0"/>
        <v>#DIV/0!</v>
      </c>
      <c r="E10" s="2" t="e">
        <f>C10/$C$13*100</f>
        <v>#DIV/0!</v>
      </c>
      <c r="F10" s="2" t="e">
        <f>C10/$L$13*100</f>
        <v>#DIV/0!</v>
      </c>
      <c r="G10" s="2"/>
      <c r="H10" s="2" t="e">
        <f t="shared" si="1"/>
        <v>#DIV/0!</v>
      </c>
      <c r="I10" s="2" t="e">
        <f>G10/$G$13*100</f>
        <v>#DIV/0!</v>
      </c>
      <c r="J10" s="2" t="e">
        <f>G10/$L$13*100</f>
        <v>#DIV/0!</v>
      </c>
      <c r="K10" s="2" t="e">
        <f t="shared" si="2"/>
        <v>#DIV/0!</v>
      </c>
      <c r="L10" s="2">
        <f t="shared" si="3"/>
        <v>0</v>
      </c>
      <c r="M10" s="2" t="e">
        <f t="shared" si="4"/>
        <v>#DIV/0!</v>
      </c>
      <c r="N10" s="2" t="e">
        <f t="shared" si="5"/>
        <v>#DIV/0!</v>
      </c>
    </row>
    <row r="11" spans="2:14" x14ac:dyDescent="0.25">
      <c r="B11" s="3" t="s">
        <v>8</v>
      </c>
      <c r="C11" s="2"/>
      <c r="D11" s="2" t="e">
        <f t="shared" si="0"/>
        <v>#DIV/0!</v>
      </c>
      <c r="E11" s="2" t="e">
        <f>C11/$C$13*100</f>
        <v>#DIV/0!</v>
      </c>
      <c r="F11" s="2" t="e">
        <f>C11/$L$13*100</f>
        <v>#DIV/0!</v>
      </c>
      <c r="G11" s="2"/>
      <c r="H11" s="2" t="e">
        <f t="shared" si="1"/>
        <v>#DIV/0!</v>
      </c>
      <c r="I11" s="2" t="e">
        <f>G11/$G$13*100</f>
        <v>#DIV/0!</v>
      </c>
      <c r="J11" s="2" t="e">
        <f>G11/$L$13*100</f>
        <v>#DIV/0!</v>
      </c>
      <c r="K11" s="2" t="e">
        <f t="shared" si="2"/>
        <v>#DIV/0!</v>
      </c>
      <c r="L11" s="2">
        <f t="shared" si="3"/>
        <v>0</v>
      </c>
      <c r="M11" s="2" t="e">
        <f t="shared" si="4"/>
        <v>#DIV/0!</v>
      </c>
      <c r="N11" s="2" t="e">
        <f t="shared" si="5"/>
        <v>#DIV/0!</v>
      </c>
    </row>
    <row r="12" spans="2:14" x14ac:dyDescent="0.25">
      <c r="B12" s="3" t="s">
        <v>9</v>
      </c>
      <c r="C12" s="2"/>
      <c r="D12" s="2" t="e">
        <f t="shared" si="0"/>
        <v>#DIV/0!</v>
      </c>
      <c r="E12" s="2" t="e">
        <f>C12/$C$13*100</f>
        <v>#DIV/0!</v>
      </c>
      <c r="F12" s="2" t="e">
        <f>C12/$L$13*100</f>
        <v>#DIV/0!</v>
      </c>
      <c r="G12" s="2"/>
      <c r="H12" s="2" t="e">
        <f t="shared" si="1"/>
        <v>#DIV/0!</v>
      </c>
      <c r="I12" s="2" t="e">
        <f>G12/$G$13*100</f>
        <v>#DIV/0!</v>
      </c>
      <c r="J12" s="2" t="e">
        <f>G12/$L$13*100</f>
        <v>#DIV/0!</v>
      </c>
      <c r="K12" s="2" t="e">
        <f t="shared" si="2"/>
        <v>#DIV/0!</v>
      </c>
      <c r="L12" s="2">
        <f t="shared" si="3"/>
        <v>0</v>
      </c>
      <c r="M12" s="2" t="e">
        <f t="shared" si="4"/>
        <v>#DIV/0!</v>
      </c>
      <c r="N12" s="2" t="e">
        <f t="shared" si="5"/>
        <v>#DIV/0!</v>
      </c>
    </row>
    <row r="13" spans="2:14" x14ac:dyDescent="0.25">
      <c r="C13" s="2">
        <f>SUM(C3:C12)</f>
        <v>0</v>
      </c>
      <c r="D13" s="2"/>
      <c r="E13" s="2" t="e">
        <f>SUM(E3:E12)</f>
        <v>#DIV/0!</v>
      </c>
      <c r="F13" s="2" t="e">
        <f>SUM(F3:F12)</f>
        <v>#DIV/0!</v>
      </c>
      <c r="G13" s="2">
        <f>SUM(G3:G12)</f>
        <v>0</v>
      </c>
      <c r="H13" s="2"/>
      <c r="I13" s="2" t="e">
        <f>SUM(I3:I12)</f>
        <v>#DIV/0!</v>
      </c>
      <c r="J13" s="2" t="e">
        <f>SUM(J3:J12)</f>
        <v>#DIV/0!</v>
      </c>
      <c r="K13" s="2" t="e">
        <f>SUM(K3:K12)</f>
        <v>#DIV/0!</v>
      </c>
      <c r="L13" s="2">
        <f>SUM(L3:L12)</f>
        <v>0</v>
      </c>
      <c r="M13" s="2"/>
      <c r="N13" s="2"/>
    </row>
    <row r="15" spans="2:14" x14ac:dyDescent="0.25">
      <c r="D15" s="14" t="s">
        <v>12</v>
      </c>
      <c r="E15" s="14" t="s">
        <v>16</v>
      </c>
    </row>
    <row r="16" spans="2:14" x14ac:dyDescent="0.25">
      <c r="C16" s="10" t="s">
        <v>0</v>
      </c>
      <c r="D16" s="2">
        <f>C3</f>
        <v>0</v>
      </c>
      <c r="E16" s="2">
        <f>G3</f>
        <v>0</v>
      </c>
    </row>
    <row r="17" spans="3:5" x14ac:dyDescent="0.25">
      <c r="C17" s="10" t="s">
        <v>1</v>
      </c>
      <c r="D17" s="2">
        <f>C4</f>
        <v>0</v>
      </c>
      <c r="E17" s="2">
        <f>G4</f>
        <v>0</v>
      </c>
    </row>
    <row r="18" spans="3:5" x14ac:dyDescent="0.25">
      <c r="C18" s="10" t="s">
        <v>2</v>
      </c>
      <c r="D18" s="2">
        <f>C5</f>
        <v>0</v>
      </c>
      <c r="E18" s="2">
        <f>G5</f>
        <v>0</v>
      </c>
    </row>
    <row r="19" spans="3:5" x14ac:dyDescent="0.25">
      <c r="C19" s="10" t="s">
        <v>3</v>
      </c>
      <c r="D19" s="2">
        <f>C6</f>
        <v>0</v>
      </c>
      <c r="E19" s="2">
        <f>G6</f>
        <v>0</v>
      </c>
    </row>
    <row r="20" spans="3:5" x14ac:dyDescent="0.25">
      <c r="C20" s="10" t="s">
        <v>4</v>
      </c>
      <c r="D20" s="2">
        <f>C7</f>
        <v>0</v>
      </c>
      <c r="E20" s="2">
        <f>G7</f>
        <v>0</v>
      </c>
    </row>
    <row r="21" spans="3:5" x14ac:dyDescent="0.25">
      <c r="C21" s="10" t="s">
        <v>5</v>
      </c>
      <c r="D21" s="2">
        <f>C8</f>
        <v>0</v>
      </c>
      <c r="E21" s="2">
        <f>G8</f>
        <v>0</v>
      </c>
    </row>
    <row r="22" spans="3:5" x14ac:dyDescent="0.25">
      <c r="C22" s="10" t="s">
        <v>6</v>
      </c>
      <c r="D22" s="2">
        <f>C9</f>
        <v>0</v>
      </c>
      <c r="E22" s="2">
        <f>G9</f>
        <v>0</v>
      </c>
    </row>
    <row r="23" spans="3:5" x14ac:dyDescent="0.25">
      <c r="C23" s="10" t="s">
        <v>7</v>
      </c>
      <c r="D23" s="2">
        <f>C10</f>
        <v>0</v>
      </c>
      <c r="E23" s="2">
        <f>G10</f>
        <v>0</v>
      </c>
    </row>
    <row r="24" spans="3:5" x14ac:dyDescent="0.25">
      <c r="C24" s="10" t="s">
        <v>8</v>
      </c>
      <c r="D24" s="2">
        <f>C11</f>
        <v>0</v>
      </c>
      <c r="E24" s="2">
        <f>G11</f>
        <v>0</v>
      </c>
    </row>
    <row r="25" spans="3:5" x14ac:dyDescent="0.25">
      <c r="C25" s="10" t="s">
        <v>9</v>
      </c>
      <c r="D25" s="2">
        <f>C12</f>
        <v>0</v>
      </c>
      <c r="E25" s="2">
        <f>G12</f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B2:N16"/>
  <sheetViews>
    <sheetView workbookViewId="0">
      <selection activeCell="B15" sqref="B15"/>
    </sheetView>
  </sheetViews>
  <sheetFormatPr baseColWidth="10" defaultRowHeight="15" x14ac:dyDescent="0.25"/>
  <cols>
    <col min="1" max="1" width="7" customWidth="1"/>
    <col min="2" max="2" width="15.28515625" customWidth="1"/>
  </cols>
  <sheetData>
    <row r="2" spans="2:14" ht="45" x14ac:dyDescent="0.25">
      <c r="B2" s="11" t="s">
        <v>31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91</v>
      </c>
      <c r="C3" s="2"/>
      <c r="D3" s="2" t="e">
        <f>C3/L3*100</f>
        <v>#DIV/0!</v>
      </c>
      <c r="E3" s="2" t="e">
        <f>C3/$C$8*100</f>
        <v>#DIV/0!</v>
      </c>
      <c r="F3" s="2" t="e">
        <f>C3/$L$8*100</f>
        <v>#DIV/0!</v>
      </c>
      <c r="G3" s="2"/>
      <c r="H3" s="2" t="e">
        <f>G3/L3*100</f>
        <v>#DIV/0!</v>
      </c>
      <c r="I3" s="2" t="e">
        <f>G3/$G$8*100</f>
        <v>#DIV/0!</v>
      </c>
      <c r="J3" s="2" t="e">
        <f>G3/$L$8*100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26.25" x14ac:dyDescent="0.25">
      <c r="B4" s="5" t="s">
        <v>92</v>
      </c>
      <c r="C4" s="2"/>
      <c r="D4" s="2" t="e">
        <f t="shared" ref="D4:D7" si="0">C4/L4*100</f>
        <v>#DIV/0!</v>
      </c>
      <c r="E4" s="2" t="e">
        <f>C4/$C$8*100</f>
        <v>#DIV/0!</v>
      </c>
      <c r="F4" s="2" t="e">
        <f>C4/$L$8*100</f>
        <v>#DIV/0!</v>
      </c>
      <c r="G4" s="2"/>
      <c r="H4" s="2" t="e">
        <f t="shared" ref="H4:H7" si="1">G4/L4*100</f>
        <v>#DIV/0!</v>
      </c>
      <c r="I4" s="2" t="e">
        <f>G4/$G$8*100</f>
        <v>#DIV/0!</v>
      </c>
      <c r="J4" s="2" t="e">
        <f>G4/$L$8*100</f>
        <v>#DIV/0!</v>
      </c>
      <c r="K4" s="2" t="e">
        <f t="shared" ref="K4:K7" si="2">F4+J4</f>
        <v>#DIV/0!</v>
      </c>
      <c r="L4" s="2">
        <f t="shared" ref="L4:L7" si="3">C4+G4</f>
        <v>0</v>
      </c>
      <c r="M4" s="2" t="e">
        <f t="shared" ref="M4:M7" si="4">H4-D4</f>
        <v>#DIV/0!</v>
      </c>
      <c r="N4" s="2" t="e">
        <f t="shared" ref="N4:N7" si="5">C4/G4</f>
        <v>#DIV/0!</v>
      </c>
    </row>
    <row r="5" spans="2:14" x14ac:dyDescent="0.25">
      <c r="B5" s="5" t="s">
        <v>93</v>
      </c>
      <c r="C5" s="2"/>
      <c r="D5" s="2" t="e">
        <f t="shared" si="0"/>
        <v>#DIV/0!</v>
      </c>
      <c r="E5" s="2" t="e">
        <f>C5/$C$8*100</f>
        <v>#DIV/0!</v>
      </c>
      <c r="F5" s="2" t="e">
        <f>C5/$L$8*100</f>
        <v>#DIV/0!</v>
      </c>
      <c r="G5" s="2"/>
      <c r="H5" s="2" t="e">
        <f t="shared" si="1"/>
        <v>#DIV/0!</v>
      </c>
      <c r="I5" s="2" t="e">
        <f>G5/$G$8*100</f>
        <v>#DIV/0!</v>
      </c>
      <c r="J5" s="2" t="e">
        <f>G5/$L$8*100</f>
        <v>#DIV/0!</v>
      </c>
      <c r="K5" s="2" t="e">
        <f t="shared" si="2"/>
        <v>#DIV/0!</v>
      </c>
      <c r="L5" s="2">
        <f t="shared" si="3"/>
        <v>0</v>
      </c>
      <c r="M5" s="2" t="e">
        <f t="shared" si="4"/>
        <v>#DIV/0!</v>
      </c>
      <c r="N5" s="2" t="e">
        <f t="shared" si="5"/>
        <v>#DIV/0!</v>
      </c>
    </row>
    <row r="6" spans="2:14" ht="38.25" x14ac:dyDescent="0.25">
      <c r="B6" s="6" t="s">
        <v>94</v>
      </c>
      <c r="C6" s="2"/>
      <c r="D6" s="2" t="e">
        <f t="shared" si="0"/>
        <v>#DIV/0!</v>
      </c>
      <c r="E6" s="2" t="e">
        <f>C6/$C$8*100</f>
        <v>#DIV/0!</v>
      </c>
      <c r="F6" s="2" t="e">
        <f>C6/$L$8*100</f>
        <v>#DIV/0!</v>
      </c>
      <c r="G6" s="2"/>
      <c r="H6" s="2" t="e">
        <f t="shared" si="1"/>
        <v>#DIV/0!</v>
      </c>
      <c r="I6" s="2" t="e">
        <f>G6/$G$8*100</f>
        <v>#DIV/0!</v>
      </c>
      <c r="J6" s="2" t="e">
        <f>G6/$L$8*100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ht="39" x14ac:dyDescent="0.25">
      <c r="B7" s="5" t="s">
        <v>95</v>
      </c>
      <c r="C7" s="2"/>
      <c r="D7" s="2" t="e">
        <f t="shared" si="0"/>
        <v>#DIV/0!</v>
      </c>
      <c r="E7" s="2" t="e">
        <f>C7/$C$8*100</f>
        <v>#DIV/0!</v>
      </c>
      <c r="F7" s="2" t="e">
        <f>C7/$L$8*100</f>
        <v>#DIV/0!</v>
      </c>
      <c r="G7" s="2"/>
      <c r="H7" s="2" t="e">
        <f t="shared" si="1"/>
        <v>#DIV/0!</v>
      </c>
      <c r="I7" s="2" t="e">
        <f>G7/$G$8*100</f>
        <v>#DIV/0!</v>
      </c>
      <c r="J7" s="2" t="e">
        <f>G7/$L$8*100</f>
        <v>#DIV/0!</v>
      </c>
      <c r="K7" s="2" t="e">
        <f t="shared" si="2"/>
        <v>#DIV/0!</v>
      </c>
      <c r="L7" s="2">
        <f t="shared" si="3"/>
        <v>0</v>
      </c>
      <c r="M7" s="2" t="e">
        <f t="shared" si="4"/>
        <v>#DIV/0!</v>
      </c>
      <c r="N7" s="2" t="e">
        <f t="shared" si="5"/>
        <v>#DIV/0!</v>
      </c>
    </row>
    <row r="8" spans="2:14" x14ac:dyDescent="0.25">
      <c r="C8" s="2">
        <f>SUM(C3:C7)</f>
        <v>0</v>
      </c>
      <c r="D8" s="2"/>
      <c r="E8" s="2" t="e">
        <f>SUM(E3:E7)</f>
        <v>#DIV/0!</v>
      </c>
      <c r="F8" s="2" t="e">
        <f>SUM(F3:F7)</f>
        <v>#DIV/0!</v>
      </c>
      <c r="G8" s="2">
        <f>SUM(G3:G7)</f>
        <v>0</v>
      </c>
      <c r="H8" s="2"/>
      <c r="I8" s="2" t="e">
        <f>SUM(I3:I7)</f>
        <v>#DIV/0!</v>
      </c>
      <c r="J8" s="2" t="e">
        <f>SUM(J3:J7)</f>
        <v>#DIV/0!</v>
      </c>
      <c r="K8" s="2" t="e">
        <f>SUM(K3:K7)</f>
        <v>#DIV/0!</v>
      </c>
      <c r="L8" s="2">
        <f>SUM(L3:L7)</f>
        <v>0</v>
      </c>
      <c r="M8" s="2"/>
      <c r="N8" s="2"/>
    </row>
    <row r="11" spans="2:14" x14ac:dyDescent="0.25">
      <c r="D11" s="14" t="s">
        <v>12</v>
      </c>
      <c r="E11" s="14" t="s">
        <v>16</v>
      </c>
    </row>
    <row r="12" spans="2:14" ht="39" x14ac:dyDescent="0.25">
      <c r="C12" s="9" t="s">
        <v>91</v>
      </c>
      <c r="D12" s="2">
        <f>C3</f>
        <v>0</v>
      </c>
      <c r="E12" s="2">
        <f>G3</f>
        <v>0</v>
      </c>
    </row>
    <row r="13" spans="2:14" ht="39" x14ac:dyDescent="0.25">
      <c r="C13" s="9" t="s">
        <v>92</v>
      </c>
      <c r="D13" s="2">
        <f t="shared" ref="D13:D16" si="6">C4</f>
        <v>0</v>
      </c>
      <c r="E13" s="2">
        <f t="shared" ref="E13:E16" si="7">G4</f>
        <v>0</v>
      </c>
    </row>
    <row r="14" spans="2:14" ht="26.25" x14ac:dyDescent="0.25">
      <c r="C14" s="9" t="s">
        <v>93</v>
      </c>
      <c r="D14" s="2">
        <f t="shared" si="6"/>
        <v>0</v>
      </c>
      <c r="E14" s="2">
        <f t="shared" si="7"/>
        <v>0</v>
      </c>
    </row>
    <row r="15" spans="2:14" ht="51" x14ac:dyDescent="0.25">
      <c r="C15" s="8" t="s">
        <v>94</v>
      </c>
      <c r="D15" s="2">
        <f t="shared" si="6"/>
        <v>0</v>
      </c>
      <c r="E15" s="2">
        <f t="shared" si="7"/>
        <v>0</v>
      </c>
    </row>
    <row r="16" spans="2:14" ht="51.75" x14ac:dyDescent="0.25">
      <c r="C16" s="9" t="s">
        <v>95</v>
      </c>
      <c r="D16" s="2">
        <f t="shared" si="6"/>
        <v>0</v>
      </c>
      <c r="E16" s="2">
        <f t="shared" si="7"/>
        <v>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B2:N13"/>
  <sheetViews>
    <sheetView workbookViewId="0">
      <selection activeCell="N30" sqref="N30"/>
    </sheetView>
  </sheetViews>
  <sheetFormatPr baseColWidth="10" defaultRowHeight="15" x14ac:dyDescent="0.25"/>
  <cols>
    <col min="1" max="1" width="6.140625" customWidth="1"/>
  </cols>
  <sheetData>
    <row r="2" spans="2:14" ht="45" x14ac:dyDescent="0.25">
      <c r="B2" s="11" t="s">
        <v>88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33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G3/L3*100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26.25" x14ac:dyDescent="0.25">
      <c r="B4" s="5" t="s">
        <v>34</v>
      </c>
      <c r="C4" s="2"/>
      <c r="D4" s="2" t="e">
        <f t="shared" ref="D4:D6" si="0">C4/L4*100</f>
        <v>#DIV/0!</v>
      </c>
      <c r="E4" s="2" t="e">
        <f>C4/$C$7*100</f>
        <v>#DIV/0!</v>
      </c>
      <c r="F4" s="2" t="e">
        <f>C4/$L$7*100</f>
        <v>#DIV/0!</v>
      </c>
      <c r="G4" s="2"/>
      <c r="H4" s="2" t="e">
        <f t="shared" ref="H4:H6" si="1">G4/L4*100</f>
        <v>#DIV/0!</v>
      </c>
      <c r="I4" s="2" t="e">
        <f>G4/$G$7*100</f>
        <v>#DIV/0!</v>
      </c>
      <c r="J4" s="2" t="e">
        <f>G4/$L$7*100</f>
        <v>#DIV/0!</v>
      </c>
      <c r="K4" s="2" t="e">
        <f t="shared" ref="K4:K6" si="2">F4+J4</f>
        <v>#DIV/0!</v>
      </c>
      <c r="L4" s="2">
        <f t="shared" ref="L4:L6" si="3">C4+G4</f>
        <v>0</v>
      </c>
      <c r="M4" s="2" t="e">
        <f t="shared" ref="M4:M6" si="4">H4-D4</f>
        <v>#DIV/0!</v>
      </c>
      <c r="N4" s="2" t="e">
        <f t="shared" ref="N4:N6" si="5">C4/G4</f>
        <v>#DIV/0!</v>
      </c>
    </row>
    <row r="5" spans="2:14" ht="26.25" x14ac:dyDescent="0.25">
      <c r="B5" s="5" t="s">
        <v>35</v>
      </c>
      <c r="C5" s="2"/>
      <c r="D5" s="2" t="e">
        <f t="shared" si="0"/>
        <v>#DIV/0!</v>
      </c>
      <c r="E5" s="2" t="e">
        <f>C5/$C$7*100</f>
        <v>#DIV/0!</v>
      </c>
      <c r="F5" s="2" t="e">
        <f>C5/$L$7*100</f>
        <v>#DIV/0!</v>
      </c>
      <c r="G5" s="2"/>
      <c r="H5" s="2" t="e">
        <f t="shared" si="1"/>
        <v>#DIV/0!</v>
      </c>
      <c r="I5" s="2" t="e">
        <f>G5/$G$7*100</f>
        <v>#DIV/0!</v>
      </c>
      <c r="J5" s="2" t="e">
        <f>G5/$L$7*100</f>
        <v>#DIV/0!</v>
      </c>
      <c r="K5" s="2" t="e">
        <f t="shared" si="2"/>
        <v>#DIV/0!</v>
      </c>
      <c r="L5" s="2">
        <f t="shared" si="3"/>
        <v>0</v>
      </c>
      <c r="M5" s="2" t="e">
        <f t="shared" si="4"/>
        <v>#DIV/0!</v>
      </c>
      <c r="N5" s="2" t="e">
        <f t="shared" si="5"/>
        <v>#DIV/0!</v>
      </c>
    </row>
    <row r="6" spans="2:14" ht="25.5" x14ac:dyDescent="0.25">
      <c r="B6" s="6" t="s">
        <v>36</v>
      </c>
      <c r="C6" s="2"/>
      <c r="D6" s="2" t="e">
        <f t="shared" si="0"/>
        <v>#DIV/0!</v>
      </c>
      <c r="E6" s="2" t="e">
        <f>C6/$C$7*100</f>
        <v>#DIV/0!</v>
      </c>
      <c r="F6" s="2" t="e">
        <f>C6/$L$7*100</f>
        <v>#DIV/0!</v>
      </c>
      <c r="G6" s="2"/>
      <c r="H6" s="2" t="e">
        <f t="shared" si="1"/>
        <v>#DIV/0!</v>
      </c>
      <c r="I6" s="2" t="e">
        <f>G6/$G$7*100</f>
        <v>#DIV/0!</v>
      </c>
      <c r="J6" s="2" t="e">
        <f>G6/$L$7*100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x14ac:dyDescent="0.25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9" spans="2:14" x14ac:dyDescent="0.25">
      <c r="D9" s="14" t="s">
        <v>12</v>
      </c>
      <c r="E9" s="14" t="s">
        <v>16</v>
      </c>
    </row>
    <row r="10" spans="2:14" ht="26.25" x14ac:dyDescent="0.25">
      <c r="C10" s="9" t="s">
        <v>33</v>
      </c>
      <c r="D10" s="2">
        <f>C3</f>
        <v>0</v>
      </c>
      <c r="E10" s="2">
        <f>G3</f>
        <v>0</v>
      </c>
    </row>
    <row r="11" spans="2:14" ht="26.25" x14ac:dyDescent="0.25">
      <c r="C11" s="9" t="s">
        <v>34</v>
      </c>
      <c r="D11" s="2">
        <f t="shared" ref="D11:D13" si="6">C4</f>
        <v>0</v>
      </c>
      <c r="E11" s="2">
        <f t="shared" ref="E11:E13" si="7">G4</f>
        <v>0</v>
      </c>
    </row>
    <row r="12" spans="2:14" ht="26.25" x14ac:dyDescent="0.25">
      <c r="C12" s="9" t="s">
        <v>35</v>
      </c>
      <c r="D12" s="2">
        <f t="shared" si="6"/>
        <v>0</v>
      </c>
      <c r="E12" s="2">
        <f t="shared" si="7"/>
        <v>0</v>
      </c>
    </row>
    <row r="13" spans="2:14" ht="25.5" x14ac:dyDescent="0.25">
      <c r="C13" s="8" t="s">
        <v>36</v>
      </c>
      <c r="D13" s="2">
        <f t="shared" si="6"/>
        <v>0</v>
      </c>
      <c r="E13" s="2">
        <f t="shared" si="7"/>
        <v>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B2:N3"/>
  <sheetViews>
    <sheetView topLeftCell="D1" workbookViewId="0">
      <selection activeCell="N3" sqref="N3"/>
    </sheetView>
  </sheetViews>
  <sheetFormatPr baseColWidth="10" defaultRowHeight="15" x14ac:dyDescent="0.25"/>
  <cols>
    <col min="1" max="1" width="6.5703125" customWidth="1"/>
    <col min="2" max="2" width="13.42578125" customWidth="1"/>
  </cols>
  <sheetData>
    <row r="2" spans="2:14" ht="45" x14ac:dyDescent="0.25">
      <c r="B2" s="11" t="s">
        <v>37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C3/$C$14*100</f>
        <v>#DIV/0!</v>
      </c>
      <c r="F3" s="2" t="e">
        <f>C3/$L$14*100</f>
        <v>#DIV/0!</v>
      </c>
      <c r="G3" s="2"/>
      <c r="H3" s="2" t="e">
        <f>G3/L3*100</f>
        <v>#DIV/0!</v>
      </c>
      <c r="I3" s="2" t="e">
        <f>G3/$G$14*100</f>
        <v>#DIV/0!</v>
      </c>
      <c r="J3" s="2" t="e">
        <f>G3/$L$14*100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30A0"/>
  </sheetPr>
  <dimension ref="B2:N3"/>
  <sheetViews>
    <sheetView topLeftCell="H1" workbookViewId="0">
      <selection activeCell="N3" sqref="N3"/>
    </sheetView>
  </sheetViews>
  <sheetFormatPr baseColWidth="10" defaultRowHeight="15" x14ac:dyDescent="0.25"/>
  <cols>
    <col min="1" max="1" width="5.85546875" customWidth="1"/>
  </cols>
  <sheetData>
    <row r="2" spans="2:14" ht="45" x14ac:dyDescent="0.25">
      <c r="B2" s="11" t="s">
        <v>39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-0.249977111117893"/>
  </sheetPr>
  <dimension ref="B2:N29"/>
  <sheetViews>
    <sheetView workbookViewId="0">
      <selection activeCell="C17" sqref="C17:E29"/>
    </sheetView>
  </sheetViews>
  <sheetFormatPr baseColWidth="10" defaultRowHeight="15" x14ac:dyDescent="0.25"/>
  <cols>
    <col min="1" max="1" width="5.7109375" customWidth="1"/>
    <col min="2" max="3" width="15.140625" bestFit="1" customWidth="1"/>
  </cols>
  <sheetData>
    <row r="2" spans="2:14" ht="45" x14ac:dyDescent="0.25">
      <c r="B2" s="11" t="s">
        <v>30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3" t="s">
        <v>0</v>
      </c>
      <c r="C3" s="2"/>
      <c r="D3" s="2" t="e">
        <f>C3/L3*100</f>
        <v>#DIV/0!</v>
      </c>
      <c r="E3" s="2" t="e">
        <f>C3/$C$15*100</f>
        <v>#DIV/0!</v>
      </c>
      <c r="F3" s="2" t="e">
        <f>C3/$L$15*100</f>
        <v>#DIV/0!</v>
      </c>
      <c r="G3" s="2"/>
      <c r="H3" s="2" t="e">
        <f>G3/L3*100</f>
        <v>#DIV/0!</v>
      </c>
      <c r="I3" s="2" t="e">
        <f>G3/$G$15*100</f>
        <v>#DIV/0!</v>
      </c>
      <c r="J3" s="2" t="e">
        <f>G3/$L$15*100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B4" s="3" t="s">
        <v>1</v>
      </c>
      <c r="C4" s="2"/>
      <c r="D4" s="2" t="e">
        <f t="shared" ref="D4:D14" si="0">C4/L4*100</f>
        <v>#DIV/0!</v>
      </c>
      <c r="E4" s="2" t="e">
        <f t="shared" ref="E4:E14" si="1">C4/$C$15*100</f>
        <v>#DIV/0!</v>
      </c>
      <c r="F4" s="2" t="e">
        <f t="shared" ref="F4:F14" si="2">C4/$L$15*100</f>
        <v>#DIV/0!</v>
      </c>
      <c r="G4" s="2"/>
      <c r="H4" s="2" t="e">
        <f t="shared" ref="H4:H14" si="3">G4/L4*100</f>
        <v>#DIV/0!</v>
      </c>
      <c r="I4" s="2" t="e">
        <f t="shared" ref="I4:I14" si="4">G4/$G$15*100</f>
        <v>#DIV/0!</v>
      </c>
      <c r="J4" s="2" t="e">
        <f t="shared" ref="J4:J14" si="5">G4/$L$15*100</f>
        <v>#DIV/0!</v>
      </c>
      <c r="K4" s="2" t="e">
        <f t="shared" ref="K4:K14" si="6">F4+J4</f>
        <v>#DIV/0!</v>
      </c>
      <c r="L4" s="2">
        <f t="shared" ref="L4:L14" si="7">C4+G4</f>
        <v>0</v>
      </c>
      <c r="M4" s="2" t="e">
        <f t="shared" ref="M4:M14" si="8">H4-D4</f>
        <v>#DIV/0!</v>
      </c>
      <c r="N4" s="2" t="e">
        <f t="shared" ref="N4:N14" si="9">C4/G4</f>
        <v>#DIV/0!</v>
      </c>
    </row>
    <row r="5" spans="2:14" x14ac:dyDescent="0.25">
      <c r="B5" s="3" t="s">
        <v>2</v>
      </c>
      <c r="C5" s="2"/>
      <c r="D5" s="2" t="e">
        <f t="shared" si="0"/>
        <v>#DIV/0!</v>
      </c>
      <c r="E5" s="2" t="e">
        <f t="shared" si="1"/>
        <v>#DIV/0!</v>
      </c>
      <c r="F5" s="2" t="e">
        <f t="shared" si="2"/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x14ac:dyDescent="0.25">
      <c r="B6" s="3" t="s">
        <v>3</v>
      </c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x14ac:dyDescent="0.25">
      <c r="B7" s="3" t="s">
        <v>4</v>
      </c>
      <c r="C7" s="2"/>
      <c r="D7" s="2" t="e">
        <f t="shared" si="0"/>
        <v>#DIV/0!</v>
      </c>
      <c r="E7" s="2" t="e">
        <f t="shared" si="1"/>
        <v>#DIV/0!</v>
      </c>
      <c r="F7" s="2" t="e">
        <f t="shared" si="2"/>
        <v>#DIV/0!</v>
      </c>
      <c r="G7" s="2"/>
      <c r="H7" s="2" t="e">
        <f t="shared" si="3"/>
        <v>#DIV/0!</v>
      </c>
      <c r="I7" s="2" t="e">
        <f t="shared" si="4"/>
        <v>#DIV/0!</v>
      </c>
      <c r="J7" s="2" t="e">
        <f t="shared" si="5"/>
        <v>#DIV/0!</v>
      </c>
      <c r="K7" s="2" t="e">
        <f t="shared" si="6"/>
        <v>#DIV/0!</v>
      </c>
      <c r="L7" s="2">
        <f t="shared" si="7"/>
        <v>0</v>
      </c>
      <c r="M7" s="2" t="e">
        <f t="shared" si="8"/>
        <v>#DIV/0!</v>
      </c>
      <c r="N7" s="2" t="e">
        <f t="shared" si="9"/>
        <v>#DIV/0!</v>
      </c>
    </row>
    <row r="8" spans="2:14" x14ac:dyDescent="0.25">
      <c r="B8" s="3" t="s">
        <v>5</v>
      </c>
      <c r="C8" s="2"/>
      <c r="D8" s="2" t="e">
        <f t="shared" si="0"/>
        <v>#DIV/0!</v>
      </c>
      <c r="E8" s="2" t="e">
        <f t="shared" si="1"/>
        <v>#DIV/0!</v>
      </c>
      <c r="F8" s="2" t="e">
        <f t="shared" si="2"/>
        <v>#DIV/0!</v>
      </c>
      <c r="G8" s="2"/>
      <c r="H8" s="2" t="e">
        <f t="shared" si="3"/>
        <v>#DIV/0!</v>
      </c>
      <c r="I8" s="2" t="e">
        <f t="shared" si="4"/>
        <v>#DIV/0!</v>
      </c>
      <c r="J8" s="2" t="e">
        <f t="shared" si="5"/>
        <v>#DIV/0!</v>
      </c>
      <c r="K8" s="2" t="e">
        <f t="shared" si="6"/>
        <v>#DIV/0!</v>
      </c>
      <c r="L8" s="2">
        <f t="shared" si="7"/>
        <v>0</v>
      </c>
      <c r="M8" s="2" t="e">
        <f t="shared" si="8"/>
        <v>#DIV/0!</v>
      </c>
      <c r="N8" s="2" t="e">
        <f t="shared" si="9"/>
        <v>#DIV/0!</v>
      </c>
    </row>
    <row r="9" spans="2:14" x14ac:dyDescent="0.25">
      <c r="B9" s="3" t="s">
        <v>6</v>
      </c>
      <c r="C9" s="2"/>
      <c r="D9" s="2" t="e">
        <f t="shared" si="0"/>
        <v>#DIV/0!</v>
      </c>
      <c r="E9" s="2" t="e">
        <f t="shared" si="1"/>
        <v>#DIV/0!</v>
      </c>
      <c r="F9" s="2" t="e">
        <f t="shared" si="2"/>
        <v>#DIV/0!</v>
      </c>
      <c r="G9" s="2"/>
      <c r="H9" s="2" t="e">
        <f t="shared" si="3"/>
        <v>#DIV/0!</v>
      </c>
      <c r="I9" s="2" t="e">
        <f t="shared" si="4"/>
        <v>#DIV/0!</v>
      </c>
      <c r="J9" s="2" t="e">
        <f t="shared" si="5"/>
        <v>#DIV/0!</v>
      </c>
      <c r="K9" s="2" t="e">
        <f t="shared" si="6"/>
        <v>#DIV/0!</v>
      </c>
      <c r="L9" s="2">
        <f t="shared" si="7"/>
        <v>0</v>
      </c>
      <c r="M9" s="2" t="e">
        <f t="shared" si="8"/>
        <v>#DIV/0!</v>
      </c>
      <c r="N9" s="2" t="e">
        <f t="shared" si="9"/>
        <v>#DIV/0!</v>
      </c>
    </row>
    <row r="10" spans="2:14" x14ac:dyDescent="0.25">
      <c r="B10" s="3" t="s">
        <v>7</v>
      </c>
      <c r="C10" s="2"/>
      <c r="D10" s="2" t="e">
        <f t="shared" si="0"/>
        <v>#DIV/0!</v>
      </c>
      <c r="E10" s="2" t="e">
        <f t="shared" si="1"/>
        <v>#DIV/0!</v>
      </c>
      <c r="F10" s="2" t="e">
        <f t="shared" si="2"/>
        <v>#DIV/0!</v>
      </c>
      <c r="G10" s="2"/>
      <c r="H10" s="2" t="e">
        <f t="shared" si="3"/>
        <v>#DIV/0!</v>
      </c>
      <c r="I10" s="2" t="e">
        <f t="shared" si="4"/>
        <v>#DIV/0!</v>
      </c>
      <c r="J10" s="2" t="e">
        <f t="shared" si="5"/>
        <v>#DIV/0!</v>
      </c>
      <c r="K10" s="2" t="e">
        <f t="shared" si="6"/>
        <v>#DIV/0!</v>
      </c>
      <c r="L10" s="2">
        <f t="shared" si="7"/>
        <v>0</v>
      </c>
      <c r="M10" s="2" t="e">
        <f t="shared" si="8"/>
        <v>#DIV/0!</v>
      </c>
      <c r="N10" s="2" t="e">
        <f t="shared" si="9"/>
        <v>#DIV/0!</v>
      </c>
    </row>
    <row r="11" spans="2:14" x14ac:dyDescent="0.25">
      <c r="B11" s="3" t="s">
        <v>8</v>
      </c>
      <c r="C11" s="2"/>
      <c r="D11" s="2" t="e">
        <f t="shared" si="0"/>
        <v>#DIV/0!</v>
      </c>
      <c r="E11" s="2" t="e">
        <f t="shared" si="1"/>
        <v>#DIV/0!</v>
      </c>
      <c r="F11" s="2" t="e">
        <f t="shared" si="2"/>
        <v>#DIV/0!</v>
      </c>
      <c r="G11" s="2"/>
      <c r="H11" s="2" t="e">
        <f t="shared" si="3"/>
        <v>#DIV/0!</v>
      </c>
      <c r="I11" s="2" t="e">
        <f t="shared" si="4"/>
        <v>#DIV/0!</v>
      </c>
      <c r="J11" s="2" t="e">
        <f t="shared" si="5"/>
        <v>#DIV/0!</v>
      </c>
      <c r="K11" s="2" t="e">
        <f t="shared" si="6"/>
        <v>#DIV/0!</v>
      </c>
      <c r="L11" s="2">
        <f t="shared" si="7"/>
        <v>0</v>
      </c>
      <c r="M11" s="2" t="e">
        <f t="shared" si="8"/>
        <v>#DIV/0!</v>
      </c>
      <c r="N11" s="2" t="e">
        <f t="shared" si="9"/>
        <v>#DIV/0!</v>
      </c>
    </row>
    <row r="12" spans="2:14" x14ac:dyDescent="0.25">
      <c r="B12" s="3" t="s">
        <v>9</v>
      </c>
      <c r="C12" s="2"/>
      <c r="D12" s="2" t="e">
        <f t="shared" si="0"/>
        <v>#DIV/0!</v>
      </c>
      <c r="E12" s="2" t="e">
        <f t="shared" si="1"/>
        <v>#DIV/0!</v>
      </c>
      <c r="F12" s="2" t="e">
        <f t="shared" si="2"/>
        <v>#DIV/0!</v>
      </c>
      <c r="G12" s="2"/>
      <c r="H12" s="2" t="e">
        <f t="shared" si="3"/>
        <v>#DIV/0!</v>
      </c>
      <c r="I12" s="2" t="e">
        <f t="shared" si="4"/>
        <v>#DIV/0!</v>
      </c>
      <c r="J12" s="2" t="e">
        <f t="shared" si="5"/>
        <v>#DIV/0!</v>
      </c>
      <c r="K12" s="2" t="e">
        <f t="shared" si="6"/>
        <v>#DIV/0!</v>
      </c>
      <c r="L12" s="2">
        <f t="shared" si="7"/>
        <v>0</v>
      </c>
      <c r="M12" s="2" t="e">
        <f t="shared" si="8"/>
        <v>#DIV/0!</v>
      </c>
      <c r="N12" s="2" t="e">
        <f t="shared" si="9"/>
        <v>#DIV/0!</v>
      </c>
    </row>
    <row r="13" spans="2:14" x14ac:dyDescent="0.25">
      <c r="B13" s="3" t="s">
        <v>10</v>
      </c>
      <c r="C13" s="2"/>
      <c r="D13" s="2" t="e">
        <f t="shared" si="0"/>
        <v>#DIV/0!</v>
      </c>
      <c r="E13" s="2" t="e">
        <f t="shared" si="1"/>
        <v>#DIV/0!</v>
      </c>
      <c r="F13" s="2" t="e">
        <f t="shared" si="2"/>
        <v>#DIV/0!</v>
      </c>
      <c r="G13" s="2"/>
      <c r="H13" s="2" t="e">
        <f t="shared" si="3"/>
        <v>#DIV/0!</v>
      </c>
      <c r="I13" s="2" t="e">
        <f t="shared" si="4"/>
        <v>#DIV/0!</v>
      </c>
      <c r="J13" s="2" t="e">
        <f t="shared" si="5"/>
        <v>#DIV/0!</v>
      </c>
      <c r="K13" s="2" t="e">
        <f t="shared" si="6"/>
        <v>#DIV/0!</v>
      </c>
      <c r="L13" s="2">
        <f t="shared" si="7"/>
        <v>0</v>
      </c>
      <c r="M13" s="2" t="e">
        <f t="shared" si="8"/>
        <v>#DIV/0!</v>
      </c>
      <c r="N13" s="2" t="e">
        <f t="shared" si="9"/>
        <v>#DIV/0!</v>
      </c>
    </row>
    <row r="14" spans="2:14" x14ac:dyDescent="0.25">
      <c r="B14" s="3" t="s">
        <v>11</v>
      </c>
      <c r="C14" s="2"/>
      <c r="D14" s="2" t="e">
        <f t="shared" si="0"/>
        <v>#DIV/0!</v>
      </c>
      <c r="E14" s="2" t="e">
        <f t="shared" si="1"/>
        <v>#DIV/0!</v>
      </c>
      <c r="F14" s="2" t="e">
        <f t="shared" si="2"/>
        <v>#DIV/0!</v>
      </c>
      <c r="G14" s="2"/>
      <c r="H14" s="2" t="e">
        <f t="shared" si="3"/>
        <v>#DIV/0!</v>
      </c>
      <c r="I14" s="2" t="e">
        <f t="shared" si="4"/>
        <v>#DIV/0!</v>
      </c>
      <c r="J14" s="2" t="e">
        <f t="shared" si="5"/>
        <v>#DIV/0!</v>
      </c>
      <c r="K14" s="2" t="e">
        <f t="shared" si="6"/>
        <v>#DIV/0!</v>
      </c>
      <c r="L14" s="2">
        <f t="shared" si="7"/>
        <v>0</v>
      </c>
      <c r="M14" s="2" t="e">
        <f t="shared" si="8"/>
        <v>#DIV/0!</v>
      </c>
      <c r="N14" s="2" t="e">
        <f t="shared" si="9"/>
        <v>#DIV/0!</v>
      </c>
    </row>
    <row r="15" spans="2:14" x14ac:dyDescent="0.25">
      <c r="C15" s="2">
        <f>SUM(C3:C14)</f>
        <v>0</v>
      </c>
      <c r="D15" s="2"/>
      <c r="E15" s="2" t="e">
        <f>SUM(E3:E14)</f>
        <v>#DIV/0!</v>
      </c>
      <c r="F15" s="2" t="e">
        <f>SUM(F3:F14)</f>
        <v>#DIV/0!</v>
      </c>
      <c r="G15" s="2">
        <f>SUM(G3:G14)</f>
        <v>0</v>
      </c>
      <c r="H15" s="2"/>
      <c r="I15" s="2" t="e">
        <f>SUM(I3:I14)</f>
        <v>#DIV/0!</v>
      </c>
      <c r="J15" s="2" t="e">
        <f>SUM(J3:J14)</f>
        <v>#DIV/0!</v>
      </c>
      <c r="K15" s="2" t="e">
        <f>SUM(K3:K14)</f>
        <v>#DIV/0!</v>
      </c>
      <c r="L15" s="2">
        <f>SUM(L3:L14)</f>
        <v>0</v>
      </c>
      <c r="M15" s="2"/>
      <c r="N15" s="2"/>
    </row>
    <row r="17" spans="3:5" x14ac:dyDescent="0.25">
      <c r="D17" s="14" t="s">
        <v>12</v>
      </c>
      <c r="E17" s="14" t="s">
        <v>16</v>
      </c>
    </row>
    <row r="18" spans="3:5" x14ac:dyDescent="0.25">
      <c r="C18" s="10" t="s">
        <v>0</v>
      </c>
      <c r="D18" s="2">
        <f>C3</f>
        <v>0</v>
      </c>
      <c r="E18" s="2">
        <f>G3</f>
        <v>0</v>
      </c>
    </row>
    <row r="19" spans="3:5" x14ac:dyDescent="0.25">
      <c r="C19" s="10" t="s">
        <v>1</v>
      </c>
      <c r="D19" s="2">
        <f t="shared" ref="D19:D29" si="10">C4</f>
        <v>0</v>
      </c>
      <c r="E19" s="2">
        <f t="shared" ref="E19:E29" si="11">G4</f>
        <v>0</v>
      </c>
    </row>
    <row r="20" spans="3:5" x14ac:dyDescent="0.25">
      <c r="C20" s="10" t="s">
        <v>2</v>
      </c>
      <c r="D20" s="2">
        <f t="shared" si="10"/>
        <v>0</v>
      </c>
      <c r="E20" s="2">
        <f t="shared" si="11"/>
        <v>0</v>
      </c>
    </row>
    <row r="21" spans="3:5" x14ac:dyDescent="0.25">
      <c r="C21" s="10" t="s">
        <v>3</v>
      </c>
      <c r="D21" s="2">
        <f t="shared" si="10"/>
        <v>0</v>
      </c>
      <c r="E21" s="2">
        <f t="shared" si="11"/>
        <v>0</v>
      </c>
    </row>
    <row r="22" spans="3:5" x14ac:dyDescent="0.25">
      <c r="C22" s="10" t="s">
        <v>4</v>
      </c>
      <c r="D22" s="2">
        <f t="shared" si="10"/>
        <v>0</v>
      </c>
      <c r="E22" s="2">
        <f t="shared" si="11"/>
        <v>0</v>
      </c>
    </row>
    <row r="23" spans="3:5" x14ac:dyDescent="0.25">
      <c r="C23" s="10" t="s">
        <v>5</v>
      </c>
      <c r="D23" s="2">
        <f t="shared" si="10"/>
        <v>0</v>
      </c>
      <c r="E23" s="2">
        <f t="shared" si="11"/>
        <v>0</v>
      </c>
    </row>
    <row r="24" spans="3:5" x14ac:dyDescent="0.25">
      <c r="C24" s="10" t="s">
        <v>6</v>
      </c>
      <c r="D24" s="2">
        <f t="shared" si="10"/>
        <v>0</v>
      </c>
      <c r="E24" s="2">
        <f t="shared" si="11"/>
        <v>0</v>
      </c>
    </row>
    <row r="25" spans="3:5" x14ac:dyDescent="0.25">
      <c r="C25" s="10" t="s">
        <v>7</v>
      </c>
      <c r="D25" s="2">
        <f t="shared" si="10"/>
        <v>0</v>
      </c>
      <c r="E25" s="2">
        <f t="shared" si="11"/>
        <v>0</v>
      </c>
    </row>
    <row r="26" spans="3:5" x14ac:dyDescent="0.25">
      <c r="C26" s="10" t="s">
        <v>8</v>
      </c>
      <c r="D26" s="2">
        <f t="shared" si="10"/>
        <v>0</v>
      </c>
      <c r="E26" s="2">
        <f t="shared" si="11"/>
        <v>0</v>
      </c>
    </row>
    <row r="27" spans="3:5" x14ac:dyDescent="0.25">
      <c r="C27" s="10" t="s">
        <v>9</v>
      </c>
      <c r="D27" s="2">
        <f t="shared" si="10"/>
        <v>0</v>
      </c>
      <c r="E27" s="2">
        <f t="shared" si="11"/>
        <v>0</v>
      </c>
    </row>
    <row r="28" spans="3:5" x14ac:dyDescent="0.25">
      <c r="C28" s="10" t="s">
        <v>10</v>
      </c>
      <c r="D28" s="2">
        <f t="shared" si="10"/>
        <v>0</v>
      </c>
      <c r="E28" s="2">
        <f t="shared" si="11"/>
        <v>0</v>
      </c>
    </row>
    <row r="29" spans="3:5" x14ac:dyDescent="0.25">
      <c r="C29" s="10" t="s">
        <v>11</v>
      </c>
      <c r="D29" s="2">
        <f t="shared" si="10"/>
        <v>0</v>
      </c>
      <c r="E29" s="2">
        <f t="shared" si="11"/>
        <v>0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-0.249977111117893"/>
  </sheetPr>
  <dimension ref="B2:N15"/>
  <sheetViews>
    <sheetView topLeftCell="A4" workbookViewId="0">
      <selection activeCell="Q14" sqref="Q14"/>
    </sheetView>
  </sheetViews>
  <sheetFormatPr baseColWidth="10" defaultRowHeight="15" x14ac:dyDescent="0.25"/>
  <cols>
    <col min="1" max="1" width="7" customWidth="1"/>
  </cols>
  <sheetData>
    <row r="2" spans="2:14" ht="45" x14ac:dyDescent="0.25">
      <c r="B2" s="11" t="s">
        <v>31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39" x14ac:dyDescent="0.25">
      <c r="B3" s="5" t="s">
        <v>91</v>
      </c>
      <c r="C3" s="2"/>
      <c r="D3" s="2" t="e">
        <f>C3/L3*100</f>
        <v>#DIV/0!</v>
      </c>
      <c r="E3" s="2" t="e">
        <f>C3/$C$8*100</f>
        <v>#DIV/0!</v>
      </c>
      <c r="F3" s="2" t="e">
        <f>C3/$L$8*100</f>
        <v>#DIV/0!</v>
      </c>
      <c r="G3" s="2"/>
      <c r="H3" s="2" t="e">
        <f>G3/L3*100</f>
        <v>#DIV/0!</v>
      </c>
      <c r="I3" s="2" t="e">
        <f>G3/$G$8*100</f>
        <v>#DIV/0!</v>
      </c>
      <c r="J3" s="2" t="e">
        <f>G3/$L$8*100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39" x14ac:dyDescent="0.25">
      <c r="B4" s="5" t="s">
        <v>92</v>
      </c>
      <c r="C4" s="2"/>
      <c r="D4" s="2" t="e">
        <f t="shared" ref="D4:D7" si="0">C4/L4*100</f>
        <v>#DIV/0!</v>
      </c>
      <c r="E4" s="2" t="e">
        <f>C4/$C$8*100</f>
        <v>#DIV/0!</v>
      </c>
      <c r="F4" s="2" t="e">
        <f>C4/$L$8*100</f>
        <v>#DIV/0!</v>
      </c>
      <c r="G4" s="2"/>
      <c r="H4" s="2" t="e">
        <f t="shared" ref="H4:H7" si="1">G4/L4*100</f>
        <v>#DIV/0!</v>
      </c>
      <c r="I4" s="2" t="e">
        <f>G4/$G$8*100</f>
        <v>#DIV/0!</v>
      </c>
      <c r="J4" s="2" t="e">
        <f>G4/$L$8*100</f>
        <v>#DIV/0!</v>
      </c>
      <c r="K4" s="2" t="e">
        <f t="shared" ref="K4:K7" si="2">F4+J4</f>
        <v>#DIV/0!</v>
      </c>
      <c r="L4" s="2">
        <f t="shared" ref="L4:L7" si="3">C4+G4</f>
        <v>0</v>
      </c>
      <c r="M4" s="2" t="e">
        <f t="shared" ref="M4:M7" si="4">H4-D4</f>
        <v>#DIV/0!</v>
      </c>
      <c r="N4" s="2" t="e">
        <f t="shared" ref="N4:N7" si="5">C4/G4</f>
        <v>#DIV/0!</v>
      </c>
    </row>
    <row r="5" spans="2:14" ht="26.25" x14ac:dyDescent="0.25">
      <c r="B5" s="5" t="s">
        <v>93</v>
      </c>
      <c r="C5" s="2"/>
      <c r="D5" s="2" t="e">
        <f t="shared" si="0"/>
        <v>#DIV/0!</v>
      </c>
      <c r="E5" s="2" t="e">
        <f>C5/$C$8*100</f>
        <v>#DIV/0!</v>
      </c>
      <c r="F5" s="2" t="e">
        <f>C5/$L$8*100</f>
        <v>#DIV/0!</v>
      </c>
      <c r="G5" s="2"/>
      <c r="H5" s="2" t="e">
        <f t="shared" si="1"/>
        <v>#DIV/0!</v>
      </c>
      <c r="I5" s="2" t="e">
        <f>G5/$G$8*100</f>
        <v>#DIV/0!</v>
      </c>
      <c r="J5" s="2" t="e">
        <f>G5/$L$8*100</f>
        <v>#DIV/0!</v>
      </c>
      <c r="K5" s="2" t="e">
        <f t="shared" si="2"/>
        <v>#DIV/0!</v>
      </c>
      <c r="L5" s="2">
        <f t="shared" si="3"/>
        <v>0</v>
      </c>
      <c r="M5" s="2" t="e">
        <f t="shared" si="4"/>
        <v>#DIV/0!</v>
      </c>
      <c r="N5" s="2" t="e">
        <f t="shared" si="5"/>
        <v>#DIV/0!</v>
      </c>
    </row>
    <row r="6" spans="2:14" ht="51" x14ac:dyDescent="0.25">
      <c r="B6" s="6" t="s">
        <v>94</v>
      </c>
      <c r="C6" s="2"/>
      <c r="D6" s="2" t="e">
        <f t="shared" si="0"/>
        <v>#DIV/0!</v>
      </c>
      <c r="E6" s="2" t="e">
        <f>C6/$C$8*100</f>
        <v>#DIV/0!</v>
      </c>
      <c r="F6" s="2" t="e">
        <f>C6/$L$8*100</f>
        <v>#DIV/0!</v>
      </c>
      <c r="G6" s="2"/>
      <c r="H6" s="2" t="e">
        <f t="shared" si="1"/>
        <v>#DIV/0!</v>
      </c>
      <c r="I6" s="2" t="e">
        <f>G6/$G$8*100</f>
        <v>#DIV/0!</v>
      </c>
      <c r="J6" s="2" t="e">
        <f>G6/$L$8*100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ht="51.75" x14ac:dyDescent="0.25">
      <c r="B7" s="5" t="s">
        <v>95</v>
      </c>
      <c r="C7" s="2"/>
      <c r="D7" s="2" t="e">
        <f t="shared" si="0"/>
        <v>#DIV/0!</v>
      </c>
      <c r="E7" s="2" t="e">
        <f>C7/$C$8*100</f>
        <v>#DIV/0!</v>
      </c>
      <c r="F7" s="2" t="e">
        <f>C7/$L$8*100</f>
        <v>#DIV/0!</v>
      </c>
      <c r="G7" s="2"/>
      <c r="H7" s="2" t="e">
        <f t="shared" si="1"/>
        <v>#DIV/0!</v>
      </c>
      <c r="I7" s="2" t="e">
        <f>G7/$G$8*100</f>
        <v>#DIV/0!</v>
      </c>
      <c r="J7" s="2" t="e">
        <f>G7/$L$8*100</f>
        <v>#DIV/0!</v>
      </c>
      <c r="K7" s="2" t="e">
        <f t="shared" si="2"/>
        <v>#DIV/0!</v>
      </c>
      <c r="L7" s="2">
        <f t="shared" si="3"/>
        <v>0</v>
      </c>
      <c r="M7" s="2" t="e">
        <f t="shared" si="4"/>
        <v>#DIV/0!</v>
      </c>
      <c r="N7" s="2" t="e">
        <f t="shared" si="5"/>
        <v>#DIV/0!</v>
      </c>
    </row>
    <row r="8" spans="2:14" x14ac:dyDescent="0.25">
      <c r="C8" s="2">
        <f>SUM(C3:C7)</f>
        <v>0</v>
      </c>
      <c r="D8" s="2"/>
      <c r="E8" s="2" t="e">
        <f>SUM(E3:E7)</f>
        <v>#DIV/0!</v>
      </c>
      <c r="F8" s="2" t="e">
        <f>SUM(F3:F7)</f>
        <v>#DIV/0!</v>
      </c>
      <c r="G8" s="2">
        <f>SUM(G3:G7)</f>
        <v>0</v>
      </c>
      <c r="H8" s="2"/>
      <c r="I8" s="2" t="e">
        <f>SUM(I3:I7)</f>
        <v>#DIV/0!</v>
      </c>
      <c r="J8" s="2" t="e">
        <f>SUM(J3:J7)</f>
        <v>#DIV/0!</v>
      </c>
      <c r="K8" s="2" t="e">
        <f>SUM(K3:K7)</f>
        <v>#DIV/0!</v>
      </c>
      <c r="L8" s="2">
        <f>SUM(L3:L7)</f>
        <v>0</v>
      </c>
      <c r="M8" s="2"/>
      <c r="N8" s="2"/>
    </row>
    <row r="10" spans="2:14" x14ac:dyDescent="0.25">
      <c r="D10" s="14" t="s">
        <v>12</v>
      </c>
      <c r="E10" s="14" t="s">
        <v>16</v>
      </c>
    </row>
    <row r="11" spans="2:14" ht="39" x14ac:dyDescent="0.25">
      <c r="C11" s="9" t="s">
        <v>91</v>
      </c>
      <c r="D11" s="2">
        <f>C3</f>
        <v>0</v>
      </c>
      <c r="E11" s="2">
        <f>G3</f>
        <v>0</v>
      </c>
    </row>
    <row r="12" spans="2:14" ht="39" x14ac:dyDescent="0.25">
      <c r="C12" s="9" t="s">
        <v>92</v>
      </c>
      <c r="D12" s="2">
        <f t="shared" ref="D12:D15" si="6">C4</f>
        <v>0</v>
      </c>
      <c r="E12" s="2">
        <f t="shared" ref="E12:E15" si="7">G4</f>
        <v>0</v>
      </c>
    </row>
    <row r="13" spans="2:14" ht="26.25" x14ac:dyDescent="0.25">
      <c r="C13" s="9" t="s">
        <v>93</v>
      </c>
      <c r="D13" s="2">
        <f t="shared" si="6"/>
        <v>0</v>
      </c>
      <c r="E13" s="2">
        <f t="shared" si="7"/>
        <v>0</v>
      </c>
    </row>
    <row r="14" spans="2:14" ht="51" x14ac:dyDescent="0.25">
      <c r="C14" s="8" t="s">
        <v>94</v>
      </c>
      <c r="D14" s="2">
        <f t="shared" si="6"/>
        <v>0</v>
      </c>
      <c r="E14" s="2">
        <f t="shared" si="7"/>
        <v>0</v>
      </c>
    </row>
    <row r="15" spans="2:14" ht="51.75" x14ac:dyDescent="0.25">
      <c r="C15" s="9" t="s">
        <v>95</v>
      </c>
      <c r="D15" s="2">
        <f t="shared" si="6"/>
        <v>0</v>
      </c>
      <c r="E15" s="2">
        <f t="shared" si="7"/>
        <v>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-0.249977111117893"/>
  </sheetPr>
  <dimension ref="B2:N13"/>
  <sheetViews>
    <sheetView workbookViewId="0">
      <selection activeCell="D9" sqref="D9:F13"/>
    </sheetView>
  </sheetViews>
  <sheetFormatPr baseColWidth="10" defaultRowHeight="15" x14ac:dyDescent="0.25"/>
  <cols>
    <col min="1" max="1" width="6.42578125" customWidth="1"/>
  </cols>
  <sheetData>
    <row r="2" spans="2:14" ht="45" x14ac:dyDescent="0.25">
      <c r="B2" s="11" t="s">
        <v>88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ht="26.25" x14ac:dyDescent="0.25">
      <c r="B3" s="5" t="s">
        <v>33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G3/L3*100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ht="26.25" x14ac:dyDescent="0.25">
      <c r="B4" s="5" t="s">
        <v>34</v>
      </c>
      <c r="C4" s="2"/>
      <c r="D4" s="2" t="e">
        <f t="shared" ref="D4:D6" si="0">C4/L4*100</f>
        <v>#DIV/0!</v>
      </c>
      <c r="E4" s="2" t="e">
        <f>C4/$C$7*100</f>
        <v>#DIV/0!</v>
      </c>
      <c r="F4" s="2" t="e">
        <f>C4/$L$7*100</f>
        <v>#DIV/0!</v>
      </c>
      <c r="G4" s="2"/>
      <c r="H4" s="2" t="e">
        <f t="shared" ref="H4:H6" si="1">G4/L4*100</f>
        <v>#DIV/0!</v>
      </c>
      <c r="I4" s="2" t="e">
        <f>G4/$G$7*100</f>
        <v>#DIV/0!</v>
      </c>
      <c r="J4" s="2" t="e">
        <f>G4/$L$7*100</f>
        <v>#DIV/0!</v>
      </c>
      <c r="K4" s="2" t="e">
        <f t="shared" ref="K4:K6" si="2">F4+J4</f>
        <v>#DIV/0!</v>
      </c>
      <c r="L4" s="2">
        <f t="shared" ref="L4:L6" si="3">C4+G4</f>
        <v>0</v>
      </c>
      <c r="M4" s="2" t="e">
        <f t="shared" ref="M4:M6" si="4">H4-D4</f>
        <v>#DIV/0!</v>
      </c>
      <c r="N4" s="2" t="e">
        <f t="shared" ref="N4:N6" si="5">C4/G4</f>
        <v>#DIV/0!</v>
      </c>
    </row>
    <row r="5" spans="2:14" ht="26.25" x14ac:dyDescent="0.25">
      <c r="B5" s="5" t="s">
        <v>35</v>
      </c>
      <c r="C5" s="2"/>
      <c r="D5" s="2" t="e">
        <f t="shared" si="0"/>
        <v>#DIV/0!</v>
      </c>
      <c r="E5" s="2" t="e">
        <f>C5/$C$7*100</f>
        <v>#DIV/0!</v>
      </c>
      <c r="F5" s="2" t="e">
        <f>C5/$L$7*100</f>
        <v>#DIV/0!</v>
      </c>
      <c r="G5" s="2"/>
      <c r="H5" s="2" t="e">
        <f t="shared" si="1"/>
        <v>#DIV/0!</v>
      </c>
      <c r="I5" s="2" t="e">
        <f>G5/$G$7*100</f>
        <v>#DIV/0!</v>
      </c>
      <c r="J5" s="2" t="e">
        <f>G5/$L$7*100</f>
        <v>#DIV/0!</v>
      </c>
      <c r="K5" s="2" t="e">
        <f t="shared" si="2"/>
        <v>#DIV/0!</v>
      </c>
      <c r="L5" s="2">
        <f t="shared" si="3"/>
        <v>0</v>
      </c>
      <c r="M5" s="2" t="e">
        <f t="shared" si="4"/>
        <v>#DIV/0!</v>
      </c>
      <c r="N5" s="2" t="e">
        <f t="shared" si="5"/>
        <v>#DIV/0!</v>
      </c>
    </row>
    <row r="6" spans="2:14" ht="25.5" x14ac:dyDescent="0.25">
      <c r="B6" s="6" t="s">
        <v>36</v>
      </c>
      <c r="C6" s="2"/>
      <c r="D6" s="2" t="e">
        <f t="shared" si="0"/>
        <v>#DIV/0!</v>
      </c>
      <c r="E6" s="2" t="e">
        <f>C6/$C$7*100</f>
        <v>#DIV/0!</v>
      </c>
      <c r="F6" s="2" t="e">
        <f>C6/$L$7*100</f>
        <v>#DIV/0!</v>
      </c>
      <c r="G6" s="2"/>
      <c r="H6" s="2" t="e">
        <f t="shared" si="1"/>
        <v>#DIV/0!</v>
      </c>
      <c r="I6" s="2" t="e">
        <f>G6/$G$7*100</f>
        <v>#DIV/0!</v>
      </c>
      <c r="J6" s="2" t="e">
        <f>G6/$L$7*100</f>
        <v>#DIV/0!</v>
      </c>
      <c r="K6" s="2" t="e">
        <f t="shared" si="2"/>
        <v>#DIV/0!</v>
      </c>
      <c r="L6" s="2">
        <f t="shared" si="3"/>
        <v>0</v>
      </c>
      <c r="M6" s="2" t="e">
        <f t="shared" si="4"/>
        <v>#DIV/0!</v>
      </c>
      <c r="N6" s="2" t="e">
        <f t="shared" si="5"/>
        <v>#DIV/0!</v>
      </c>
    </row>
    <row r="7" spans="2:14" x14ac:dyDescent="0.25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9" spans="2:14" x14ac:dyDescent="0.25">
      <c r="E9" s="14" t="s">
        <v>12</v>
      </c>
      <c r="F9" s="14" t="s">
        <v>16</v>
      </c>
    </row>
    <row r="10" spans="2:14" ht="26.25" x14ac:dyDescent="0.25">
      <c r="D10" s="9" t="s">
        <v>33</v>
      </c>
      <c r="E10" s="2">
        <f>C3</f>
        <v>0</v>
      </c>
      <c r="F10" s="2">
        <f>G3</f>
        <v>0</v>
      </c>
    </row>
    <row r="11" spans="2:14" ht="26.25" x14ac:dyDescent="0.25">
      <c r="D11" s="9" t="s">
        <v>34</v>
      </c>
      <c r="E11" s="2">
        <f t="shared" ref="E11:E13" si="6">C4</f>
        <v>0</v>
      </c>
      <c r="F11" s="2">
        <f t="shared" ref="F11:F13" si="7">G4</f>
        <v>0</v>
      </c>
    </row>
    <row r="12" spans="2:14" ht="26.25" x14ac:dyDescent="0.25">
      <c r="D12" s="9" t="s">
        <v>35</v>
      </c>
      <c r="E12" s="2">
        <f t="shared" si="6"/>
        <v>0</v>
      </c>
      <c r="F12" s="2">
        <f t="shared" si="7"/>
        <v>0</v>
      </c>
    </row>
    <row r="13" spans="2:14" ht="25.5" x14ac:dyDescent="0.25">
      <c r="D13" s="8" t="s">
        <v>36</v>
      </c>
      <c r="E13" s="2">
        <f t="shared" si="6"/>
        <v>0</v>
      </c>
      <c r="F13" s="2">
        <f t="shared" si="7"/>
        <v>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-0.249977111117893"/>
  </sheetPr>
  <dimension ref="B2:N25"/>
  <sheetViews>
    <sheetView workbookViewId="0">
      <selection activeCell="C15" sqref="C15:E25"/>
    </sheetView>
  </sheetViews>
  <sheetFormatPr baseColWidth="10" defaultRowHeight="15" x14ac:dyDescent="0.25"/>
  <cols>
    <col min="1" max="1" width="6" customWidth="1"/>
    <col min="2" max="2" width="13.85546875" customWidth="1"/>
  </cols>
  <sheetData>
    <row r="2" spans="2:14" ht="45" x14ac:dyDescent="0.25">
      <c r="B2" s="11" t="s">
        <v>38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B4" s="5"/>
      <c r="C4" s="2"/>
      <c r="D4" s="2" t="e">
        <f t="shared" ref="D4:D12" si="0">C4/L4*100</f>
        <v>#DIV/0!</v>
      </c>
      <c r="E4" s="2" t="e">
        <f t="shared" ref="E4:E12" si="1">C4/$C$13*100</f>
        <v>#DIV/0!</v>
      </c>
      <c r="F4" s="2" t="e">
        <f t="shared" ref="F4:F12" si="2">C4/$L$13*100</f>
        <v>#DIV/0!</v>
      </c>
      <c r="G4" s="2"/>
      <c r="H4" s="2" t="e">
        <f t="shared" ref="H4:H12" si="3">G4/L4*100</f>
        <v>#DIV/0!</v>
      </c>
      <c r="I4" s="2" t="e">
        <f t="shared" ref="I4:I12" si="4">G4/$G$13*100</f>
        <v>#DIV/0!</v>
      </c>
      <c r="J4" s="2" t="e">
        <f t="shared" ref="J4:J12" si="5">G4/$L$13*100</f>
        <v>#DIV/0!</v>
      </c>
      <c r="K4" s="2" t="e">
        <f t="shared" ref="K4:K12" si="6">F4+J4</f>
        <v>#DIV/0!</v>
      </c>
      <c r="L4" s="2">
        <f t="shared" ref="L4:L12" si="7">C4+G4</f>
        <v>0</v>
      </c>
      <c r="M4" s="2" t="e">
        <f t="shared" ref="M4:M12" si="8">H4-D4</f>
        <v>#DIV/0!</v>
      </c>
      <c r="N4" s="2" t="e">
        <f t="shared" ref="N4:N12" si="9">C4/G4</f>
        <v>#DIV/0!</v>
      </c>
    </row>
    <row r="5" spans="2:14" x14ac:dyDescent="0.25">
      <c r="B5" s="5"/>
      <c r="C5" s="2"/>
      <c r="D5" s="2" t="e">
        <f t="shared" si="0"/>
        <v>#DIV/0!</v>
      </c>
      <c r="E5" s="2" t="e">
        <f t="shared" si="1"/>
        <v>#DIV/0!</v>
      </c>
      <c r="F5" s="2" t="e">
        <f t="shared" si="2"/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x14ac:dyDescent="0.25">
      <c r="B6" s="5"/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x14ac:dyDescent="0.25">
      <c r="B7" s="5"/>
      <c r="C7" s="2"/>
      <c r="D7" s="2" t="e">
        <f t="shared" si="0"/>
        <v>#DIV/0!</v>
      </c>
      <c r="E7" s="2" t="e">
        <f t="shared" si="1"/>
        <v>#DIV/0!</v>
      </c>
      <c r="F7" s="2" t="e">
        <f t="shared" si="2"/>
        <v>#DIV/0!</v>
      </c>
      <c r="G7" s="2"/>
      <c r="H7" s="2" t="e">
        <f t="shared" si="3"/>
        <v>#DIV/0!</v>
      </c>
      <c r="I7" s="2" t="e">
        <f t="shared" si="4"/>
        <v>#DIV/0!</v>
      </c>
      <c r="J7" s="2" t="e">
        <f t="shared" si="5"/>
        <v>#DIV/0!</v>
      </c>
      <c r="K7" s="2" t="e">
        <f t="shared" si="6"/>
        <v>#DIV/0!</v>
      </c>
      <c r="L7" s="2">
        <f t="shared" si="7"/>
        <v>0</v>
      </c>
      <c r="M7" s="2" t="e">
        <f t="shared" si="8"/>
        <v>#DIV/0!</v>
      </c>
      <c r="N7" s="2" t="e">
        <f t="shared" si="9"/>
        <v>#DIV/0!</v>
      </c>
    </row>
    <row r="8" spans="2:14" x14ac:dyDescent="0.25">
      <c r="B8" s="5"/>
      <c r="C8" s="2"/>
      <c r="D8" s="2" t="e">
        <f t="shared" si="0"/>
        <v>#DIV/0!</v>
      </c>
      <c r="E8" s="2" t="e">
        <f t="shared" si="1"/>
        <v>#DIV/0!</v>
      </c>
      <c r="F8" s="2" t="e">
        <f t="shared" si="2"/>
        <v>#DIV/0!</v>
      </c>
      <c r="G8" s="2"/>
      <c r="H8" s="2" t="e">
        <f t="shared" si="3"/>
        <v>#DIV/0!</v>
      </c>
      <c r="I8" s="2" t="e">
        <f t="shared" si="4"/>
        <v>#DIV/0!</v>
      </c>
      <c r="J8" s="2" t="e">
        <f t="shared" si="5"/>
        <v>#DIV/0!</v>
      </c>
      <c r="K8" s="2" t="e">
        <f t="shared" si="6"/>
        <v>#DIV/0!</v>
      </c>
      <c r="L8" s="2">
        <f t="shared" si="7"/>
        <v>0</v>
      </c>
      <c r="M8" s="2" t="e">
        <f t="shared" si="8"/>
        <v>#DIV/0!</v>
      </c>
      <c r="N8" s="2" t="e">
        <f t="shared" si="9"/>
        <v>#DIV/0!</v>
      </c>
    </row>
    <row r="9" spans="2:14" x14ac:dyDescent="0.25">
      <c r="B9" s="5"/>
      <c r="C9" s="2"/>
      <c r="D9" s="2" t="e">
        <f t="shared" si="0"/>
        <v>#DIV/0!</v>
      </c>
      <c r="E9" s="2" t="e">
        <f t="shared" si="1"/>
        <v>#DIV/0!</v>
      </c>
      <c r="F9" s="2" t="e">
        <f t="shared" si="2"/>
        <v>#DIV/0!</v>
      </c>
      <c r="G9" s="2"/>
      <c r="H9" s="2" t="e">
        <f t="shared" si="3"/>
        <v>#DIV/0!</v>
      </c>
      <c r="I9" s="2" t="e">
        <f t="shared" si="4"/>
        <v>#DIV/0!</v>
      </c>
      <c r="J9" s="2" t="e">
        <f t="shared" si="5"/>
        <v>#DIV/0!</v>
      </c>
      <c r="K9" s="2" t="e">
        <f t="shared" si="6"/>
        <v>#DIV/0!</v>
      </c>
      <c r="L9" s="2">
        <f t="shared" si="7"/>
        <v>0</v>
      </c>
      <c r="M9" s="2" t="e">
        <f t="shared" si="8"/>
        <v>#DIV/0!</v>
      </c>
      <c r="N9" s="2" t="e">
        <f t="shared" si="9"/>
        <v>#DIV/0!</v>
      </c>
    </row>
    <row r="10" spans="2:14" x14ac:dyDescent="0.25">
      <c r="B10" s="5"/>
      <c r="C10" s="2"/>
      <c r="D10" s="2" t="e">
        <f t="shared" si="0"/>
        <v>#DIV/0!</v>
      </c>
      <c r="E10" s="2" t="e">
        <f t="shared" si="1"/>
        <v>#DIV/0!</v>
      </c>
      <c r="F10" s="2" t="e">
        <f t="shared" si="2"/>
        <v>#DIV/0!</v>
      </c>
      <c r="G10" s="2"/>
      <c r="H10" s="2" t="e">
        <f t="shared" si="3"/>
        <v>#DIV/0!</v>
      </c>
      <c r="I10" s="2" t="e">
        <f t="shared" si="4"/>
        <v>#DIV/0!</v>
      </c>
      <c r="J10" s="2" t="e">
        <f t="shared" si="5"/>
        <v>#DIV/0!</v>
      </c>
      <c r="K10" s="2" t="e">
        <f t="shared" si="6"/>
        <v>#DIV/0!</v>
      </c>
      <c r="L10" s="2">
        <f t="shared" si="7"/>
        <v>0</v>
      </c>
      <c r="M10" s="2" t="e">
        <f t="shared" si="8"/>
        <v>#DIV/0!</v>
      </c>
      <c r="N10" s="2" t="e">
        <f t="shared" si="9"/>
        <v>#DIV/0!</v>
      </c>
    </row>
    <row r="11" spans="2:14" x14ac:dyDescent="0.25">
      <c r="B11" s="5"/>
      <c r="C11" s="2"/>
      <c r="D11" s="2" t="e">
        <f t="shared" si="0"/>
        <v>#DIV/0!</v>
      </c>
      <c r="E11" s="2" t="e">
        <f t="shared" si="1"/>
        <v>#DIV/0!</v>
      </c>
      <c r="F11" s="2" t="e">
        <f t="shared" si="2"/>
        <v>#DIV/0!</v>
      </c>
      <c r="G11" s="2"/>
      <c r="H11" s="2" t="e">
        <f t="shared" si="3"/>
        <v>#DIV/0!</v>
      </c>
      <c r="I11" s="2" t="e">
        <f t="shared" si="4"/>
        <v>#DIV/0!</v>
      </c>
      <c r="J11" s="2" t="e">
        <f t="shared" si="5"/>
        <v>#DIV/0!</v>
      </c>
      <c r="K11" s="2" t="e">
        <f t="shared" si="6"/>
        <v>#DIV/0!</v>
      </c>
      <c r="L11" s="2">
        <f t="shared" si="7"/>
        <v>0</v>
      </c>
      <c r="M11" s="2" t="e">
        <f t="shared" si="8"/>
        <v>#DIV/0!</v>
      </c>
      <c r="N11" s="2" t="e">
        <f t="shared" si="9"/>
        <v>#DIV/0!</v>
      </c>
    </row>
    <row r="12" spans="2:14" x14ac:dyDescent="0.25">
      <c r="B12" s="6"/>
      <c r="C12" s="2"/>
      <c r="D12" s="2" t="e">
        <f t="shared" si="0"/>
        <v>#DIV/0!</v>
      </c>
      <c r="E12" s="2" t="e">
        <f t="shared" si="1"/>
        <v>#DIV/0!</v>
      </c>
      <c r="F12" s="2" t="e">
        <f t="shared" si="2"/>
        <v>#DIV/0!</v>
      </c>
      <c r="G12" s="2"/>
      <c r="H12" s="2" t="e">
        <f t="shared" si="3"/>
        <v>#DIV/0!</v>
      </c>
      <c r="I12" s="2" t="e">
        <f t="shared" si="4"/>
        <v>#DIV/0!</v>
      </c>
      <c r="J12" s="2" t="e">
        <f t="shared" si="5"/>
        <v>#DIV/0!</v>
      </c>
      <c r="K12" s="2" t="e">
        <f t="shared" si="6"/>
        <v>#DIV/0!</v>
      </c>
      <c r="L12" s="2">
        <f t="shared" si="7"/>
        <v>0</v>
      </c>
      <c r="M12" s="2" t="e">
        <f t="shared" si="8"/>
        <v>#DIV/0!</v>
      </c>
      <c r="N12" s="2" t="e">
        <f t="shared" si="9"/>
        <v>#DIV/0!</v>
      </c>
    </row>
    <row r="13" spans="2:14" x14ac:dyDescent="0.25">
      <c r="C13" s="2">
        <f>SUM(C3:C12)</f>
        <v>0</v>
      </c>
      <c r="D13" s="2"/>
      <c r="E13" s="2" t="e">
        <f>SUM(E3:E12)</f>
        <v>#DIV/0!</v>
      </c>
      <c r="F13" s="2" t="e">
        <f>SUM(F3:F12)</f>
        <v>#DIV/0!</v>
      </c>
      <c r="G13" s="2">
        <f>SUM(G3:G12)</f>
        <v>0</v>
      </c>
      <c r="H13" s="2"/>
      <c r="I13" s="2" t="e">
        <f>SUM(I3:I12)</f>
        <v>#DIV/0!</v>
      </c>
      <c r="J13" s="2" t="e">
        <f>SUM(J3:J12)</f>
        <v>#DIV/0!</v>
      </c>
      <c r="K13" s="2" t="e">
        <f>SUM(K3:K12)</f>
        <v>#DIV/0!</v>
      </c>
      <c r="L13" s="2">
        <f>SUM(L3:L12)</f>
        <v>0</v>
      </c>
      <c r="M13" s="2"/>
      <c r="N13" s="2"/>
    </row>
    <row r="15" spans="2:14" x14ac:dyDescent="0.25">
      <c r="D15" s="14" t="s">
        <v>12</v>
      </c>
      <c r="E15" s="14" t="s">
        <v>16</v>
      </c>
    </row>
    <row r="16" spans="2:14" x14ac:dyDescent="0.25">
      <c r="C16" s="9"/>
      <c r="D16" s="2">
        <f>C3</f>
        <v>0</v>
      </c>
      <c r="E16" s="2">
        <f>G3</f>
        <v>0</v>
      </c>
    </row>
    <row r="17" spans="3:5" x14ac:dyDescent="0.25">
      <c r="C17" s="9"/>
      <c r="D17" s="2">
        <f t="shared" ref="D17:D25" si="10">C4</f>
        <v>0</v>
      </c>
      <c r="E17" s="2">
        <f t="shared" ref="E17:E25" si="11">G4</f>
        <v>0</v>
      </c>
    </row>
    <row r="18" spans="3:5" x14ac:dyDescent="0.25">
      <c r="C18" s="9"/>
      <c r="D18" s="2">
        <f t="shared" si="10"/>
        <v>0</v>
      </c>
      <c r="E18" s="2">
        <f t="shared" si="11"/>
        <v>0</v>
      </c>
    </row>
    <row r="19" spans="3:5" x14ac:dyDescent="0.25">
      <c r="C19" s="9"/>
      <c r="D19" s="2">
        <f t="shared" si="10"/>
        <v>0</v>
      </c>
      <c r="E19" s="2">
        <f t="shared" si="11"/>
        <v>0</v>
      </c>
    </row>
    <row r="20" spans="3:5" x14ac:dyDescent="0.25">
      <c r="C20" s="9"/>
      <c r="D20" s="2">
        <f t="shared" si="10"/>
        <v>0</v>
      </c>
      <c r="E20" s="2">
        <f t="shared" si="11"/>
        <v>0</v>
      </c>
    </row>
    <row r="21" spans="3:5" x14ac:dyDescent="0.25">
      <c r="C21" s="9"/>
      <c r="D21" s="2">
        <f t="shared" si="10"/>
        <v>0</v>
      </c>
      <c r="E21" s="2">
        <f t="shared" si="11"/>
        <v>0</v>
      </c>
    </row>
    <row r="22" spans="3:5" x14ac:dyDescent="0.25">
      <c r="C22" s="9"/>
      <c r="D22" s="2">
        <f t="shared" si="10"/>
        <v>0</v>
      </c>
      <c r="E22" s="2">
        <f t="shared" si="11"/>
        <v>0</v>
      </c>
    </row>
    <row r="23" spans="3:5" x14ac:dyDescent="0.25">
      <c r="C23" s="9"/>
      <c r="D23" s="2">
        <f t="shared" si="10"/>
        <v>0</v>
      </c>
      <c r="E23" s="2">
        <f t="shared" si="11"/>
        <v>0</v>
      </c>
    </row>
    <row r="24" spans="3:5" x14ac:dyDescent="0.25">
      <c r="C24" s="9"/>
      <c r="D24" s="2">
        <f t="shared" si="10"/>
        <v>0</v>
      </c>
      <c r="E24" s="2">
        <f t="shared" si="11"/>
        <v>0</v>
      </c>
    </row>
    <row r="25" spans="3:5" x14ac:dyDescent="0.25">
      <c r="C25" s="8"/>
      <c r="D25" s="2">
        <f t="shared" si="10"/>
        <v>0</v>
      </c>
      <c r="E25" s="2">
        <f t="shared" si="11"/>
        <v>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-0.249977111117893"/>
  </sheetPr>
  <dimension ref="B2:N23"/>
  <sheetViews>
    <sheetView workbookViewId="0">
      <selection activeCell="C15" sqref="C15:E23"/>
    </sheetView>
  </sheetViews>
  <sheetFormatPr baseColWidth="10" defaultRowHeight="15" x14ac:dyDescent="0.25"/>
  <cols>
    <col min="1" max="1" width="5.85546875" customWidth="1"/>
    <col min="2" max="2" width="13.85546875" customWidth="1"/>
  </cols>
  <sheetData>
    <row r="2" spans="2:14" ht="45" x14ac:dyDescent="0.25">
      <c r="B2" s="11" t="s">
        <v>37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13</v>
      </c>
      <c r="I2" s="11" t="s">
        <v>14</v>
      </c>
      <c r="J2" s="11" t="s">
        <v>17</v>
      </c>
      <c r="K2" s="11" t="s">
        <v>18</v>
      </c>
      <c r="L2" s="11" t="s">
        <v>21</v>
      </c>
      <c r="M2" s="11" t="s">
        <v>19</v>
      </c>
      <c r="N2" s="11" t="s">
        <v>20</v>
      </c>
    </row>
    <row r="3" spans="2:14" x14ac:dyDescent="0.25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2:14" x14ac:dyDescent="0.25">
      <c r="B4" s="5"/>
      <c r="C4" s="2"/>
      <c r="D4" s="2" t="e">
        <f t="shared" ref="D4:D12" si="0">C4/L4*100</f>
        <v>#DIV/0!</v>
      </c>
      <c r="E4" s="2" t="e">
        <f t="shared" ref="E4:E12" si="1">C4/$C$13*100</f>
        <v>#DIV/0!</v>
      </c>
      <c r="F4" s="2" t="e">
        <f t="shared" ref="F4:F12" si="2">C4/$L$13*100</f>
        <v>#DIV/0!</v>
      </c>
      <c r="G4" s="2"/>
      <c r="H4" s="2" t="e">
        <f t="shared" ref="H4:H12" si="3">G4/L4*100</f>
        <v>#DIV/0!</v>
      </c>
      <c r="I4" s="2" t="e">
        <f t="shared" ref="I4:I12" si="4">G4/$G$13*100</f>
        <v>#DIV/0!</v>
      </c>
      <c r="J4" s="2" t="e">
        <f t="shared" ref="J4:J12" si="5">G4/$L$13*100</f>
        <v>#DIV/0!</v>
      </c>
      <c r="K4" s="2" t="e">
        <f t="shared" ref="K4:K12" si="6">F4+J4</f>
        <v>#DIV/0!</v>
      </c>
      <c r="L4" s="2">
        <f t="shared" ref="L4:L12" si="7">C4+G4</f>
        <v>0</v>
      </c>
      <c r="M4" s="2" t="e">
        <f t="shared" ref="M4:M12" si="8">H4-D4</f>
        <v>#DIV/0!</v>
      </c>
      <c r="N4" s="2" t="e">
        <f t="shared" ref="N4:N12" si="9">C4/G4</f>
        <v>#DIV/0!</v>
      </c>
    </row>
    <row r="5" spans="2:14" x14ac:dyDescent="0.25">
      <c r="B5" s="5"/>
      <c r="C5" s="2"/>
      <c r="D5" s="2" t="e">
        <f t="shared" si="0"/>
        <v>#DIV/0!</v>
      </c>
      <c r="E5" s="2" t="e">
        <f t="shared" si="1"/>
        <v>#DIV/0!</v>
      </c>
      <c r="F5" s="2" t="e">
        <f t="shared" si="2"/>
        <v>#DIV/0!</v>
      </c>
      <c r="G5" s="2"/>
      <c r="H5" s="2" t="e">
        <f t="shared" si="3"/>
        <v>#DIV/0!</v>
      </c>
      <c r="I5" s="2" t="e">
        <f t="shared" si="4"/>
        <v>#DIV/0!</v>
      </c>
      <c r="J5" s="2" t="e">
        <f t="shared" si="5"/>
        <v>#DIV/0!</v>
      </c>
      <c r="K5" s="2" t="e">
        <f t="shared" si="6"/>
        <v>#DIV/0!</v>
      </c>
      <c r="L5" s="2">
        <f t="shared" si="7"/>
        <v>0</v>
      </c>
      <c r="M5" s="2" t="e">
        <f t="shared" si="8"/>
        <v>#DIV/0!</v>
      </c>
      <c r="N5" s="2" t="e">
        <f t="shared" si="9"/>
        <v>#DIV/0!</v>
      </c>
    </row>
    <row r="6" spans="2:14" x14ac:dyDescent="0.25">
      <c r="B6" s="5"/>
      <c r="C6" s="2"/>
      <c r="D6" s="2" t="e">
        <f t="shared" si="0"/>
        <v>#DIV/0!</v>
      </c>
      <c r="E6" s="2" t="e">
        <f t="shared" si="1"/>
        <v>#DIV/0!</v>
      </c>
      <c r="F6" s="2" t="e">
        <f t="shared" si="2"/>
        <v>#DIV/0!</v>
      </c>
      <c r="G6" s="2"/>
      <c r="H6" s="2" t="e">
        <f t="shared" si="3"/>
        <v>#DIV/0!</v>
      </c>
      <c r="I6" s="2" t="e">
        <f t="shared" si="4"/>
        <v>#DIV/0!</v>
      </c>
      <c r="J6" s="2" t="e">
        <f t="shared" si="5"/>
        <v>#DIV/0!</v>
      </c>
      <c r="K6" s="2" t="e">
        <f t="shared" si="6"/>
        <v>#DIV/0!</v>
      </c>
      <c r="L6" s="2">
        <f t="shared" si="7"/>
        <v>0</v>
      </c>
      <c r="M6" s="2" t="e">
        <f t="shared" si="8"/>
        <v>#DIV/0!</v>
      </c>
      <c r="N6" s="2" t="e">
        <f t="shared" si="9"/>
        <v>#DIV/0!</v>
      </c>
    </row>
    <row r="7" spans="2:14" x14ac:dyDescent="0.25">
      <c r="B7" s="5"/>
      <c r="C7" s="2"/>
      <c r="D7" s="2" t="e">
        <f t="shared" si="0"/>
        <v>#DIV/0!</v>
      </c>
      <c r="E7" s="2" t="e">
        <f t="shared" si="1"/>
        <v>#DIV/0!</v>
      </c>
      <c r="F7" s="2" t="e">
        <f t="shared" si="2"/>
        <v>#DIV/0!</v>
      </c>
      <c r="G7" s="2"/>
      <c r="H7" s="2" t="e">
        <f t="shared" si="3"/>
        <v>#DIV/0!</v>
      </c>
      <c r="I7" s="2" t="e">
        <f t="shared" si="4"/>
        <v>#DIV/0!</v>
      </c>
      <c r="J7" s="2" t="e">
        <f t="shared" si="5"/>
        <v>#DIV/0!</v>
      </c>
      <c r="K7" s="2" t="e">
        <f t="shared" si="6"/>
        <v>#DIV/0!</v>
      </c>
      <c r="L7" s="2">
        <f t="shared" si="7"/>
        <v>0</v>
      </c>
      <c r="M7" s="2" t="e">
        <f t="shared" si="8"/>
        <v>#DIV/0!</v>
      </c>
      <c r="N7" s="2" t="e">
        <f t="shared" si="9"/>
        <v>#DIV/0!</v>
      </c>
    </row>
    <row r="8" spans="2:14" x14ac:dyDescent="0.25">
      <c r="B8" s="5"/>
      <c r="C8" s="2"/>
      <c r="D8" s="2" t="e">
        <f t="shared" si="0"/>
        <v>#DIV/0!</v>
      </c>
      <c r="E8" s="2" t="e">
        <f t="shared" si="1"/>
        <v>#DIV/0!</v>
      </c>
      <c r="F8" s="2" t="e">
        <f t="shared" si="2"/>
        <v>#DIV/0!</v>
      </c>
      <c r="G8" s="2"/>
      <c r="H8" s="2" t="e">
        <f t="shared" si="3"/>
        <v>#DIV/0!</v>
      </c>
      <c r="I8" s="2" t="e">
        <f t="shared" si="4"/>
        <v>#DIV/0!</v>
      </c>
      <c r="J8" s="2" t="e">
        <f t="shared" si="5"/>
        <v>#DIV/0!</v>
      </c>
      <c r="K8" s="2" t="e">
        <f t="shared" si="6"/>
        <v>#DIV/0!</v>
      </c>
      <c r="L8" s="2">
        <f t="shared" si="7"/>
        <v>0</v>
      </c>
      <c r="M8" s="2" t="e">
        <f t="shared" si="8"/>
        <v>#DIV/0!</v>
      </c>
      <c r="N8" s="2" t="e">
        <f t="shared" si="9"/>
        <v>#DIV/0!</v>
      </c>
    </row>
    <row r="9" spans="2:14" x14ac:dyDescent="0.25">
      <c r="B9" s="5"/>
      <c r="C9" s="2"/>
      <c r="D9" s="2" t="e">
        <f t="shared" si="0"/>
        <v>#DIV/0!</v>
      </c>
      <c r="E9" s="2" t="e">
        <f t="shared" si="1"/>
        <v>#DIV/0!</v>
      </c>
      <c r="F9" s="2" t="e">
        <f t="shared" si="2"/>
        <v>#DIV/0!</v>
      </c>
      <c r="G9" s="2"/>
      <c r="H9" s="2" t="e">
        <f t="shared" si="3"/>
        <v>#DIV/0!</v>
      </c>
      <c r="I9" s="2" t="e">
        <f t="shared" si="4"/>
        <v>#DIV/0!</v>
      </c>
      <c r="J9" s="2" t="e">
        <f t="shared" si="5"/>
        <v>#DIV/0!</v>
      </c>
      <c r="K9" s="2" t="e">
        <f t="shared" si="6"/>
        <v>#DIV/0!</v>
      </c>
      <c r="L9" s="2">
        <f t="shared" si="7"/>
        <v>0</v>
      </c>
      <c r="M9" s="2" t="e">
        <f t="shared" si="8"/>
        <v>#DIV/0!</v>
      </c>
      <c r="N9" s="2" t="e">
        <f t="shared" si="9"/>
        <v>#DIV/0!</v>
      </c>
    </row>
    <row r="10" spans="2:14" x14ac:dyDescent="0.25">
      <c r="B10" s="5"/>
      <c r="C10" s="2"/>
      <c r="D10" s="2" t="e">
        <f t="shared" si="0"/>
        <v>#DIV/0!</v>
      </c>
      <c r="E10" s="2" t="e">
        <f t="shared" si="1"/>
        <v>#DIV/0!</v>
      </c>
      <c r="F10" s="2" t="e">
        <f t="shared" si="2"/>
        <v>#DIV/0!</v>
      </c>
      <c r="G10" s="2"/>
      <c r="H10" s="2" t="e">
        <f t="shared" si="3"/>
        <v>#DIV/0!</v>
      </c>
      <c r="I10" s="2" t="e">
        <f t="shared" si="4"/>
        <v>#DIV/0!</v>
      </c>
      <c r="J10" s="2" t="e">
        <f t="shared" si="5"/>
        <v>#DIV/0!</v>
      </c>
      <c r="K10" s="2" t="e">
        <f t="shared" si="6"/>
        <v>#DIV/0!</v>
      </c>
      <c r="L10" s="2">
        <f t="shared" si="7"/>
        <v>0</v>
      </c>
      <c r="M10" s="2" t="e">
        <f t="shared" si="8"/>
        <v>#DIV/0!</v>
      </c>
      <c r="N10" s="2" t="e">
        <f t="shared" si="9"/>
        <v>#DIV/0!</v>
      </c>
    </row>
    <row r="11" spans="2:14" x14ac:dyDescent="0.25">
      <c r="B11" s="5"/>
      <c r="C11" s="2"/>
      <c r="D11" s="2" t="e">
        <f t="shared" si="0"/>
        <v>#DIV/0!</v>
      </c>
      <c r="E11" s="2" t="e">
        <f t="shared" si="1"/>
        <v>#DIV/0!</v>
      </c>
      <c r="F11" s="2" t="e">
        <f t="shared" si="2"/>
        <v>#DIV/0!</v>
      </c>
      <c r="G11" s="2"/>
      <c r="H11" s="2" t="e">
        <f t="shared" si="3"/>
        <v>#DIV/0!</v>
      </c>
      <c r="I11" s="2" t="e">
        <f t="shared" si="4"/>
        <v>#DIV/0!</v>
      </c>
      <c r="J11" s="2" t="e">
        <f t="shared" si="5"/>
        <v>#DIV/0!</v>
      </c>
      <c r="K11" s="2" t="e">
        <f t="shared" si="6"/>
        <v>#DIV/0!</v>
      </c>
      <c r="L11" s="2">
        <f t="shared" si="7"/>
        <v>0</v>
      </c>
      <c r="M11" s="2" t="e">
        <f t="shared" si="8"/>
        <v>#DIV/0!</v>
      </c>
      <c r="N11" s="2" t="e">
        <f t="shared" si="9"/>
        <v>#DIV/0!</v>
      </c>
    </row>
    <row r="12" spans="2:14" x14ac:dyDescent="0.25">
      <c r="B12" s="6"/>
      <c r="C12" s="2"/>
      <c r="D12" s="2" t="e">
        <f t="shared" si="0"/>
        <v>#DIV/0!</v>
      </c>
      <c r="E12" s="2" t="e">
        <f t="shared" si="1"/>
        <v>#DIV/0!</v>
      </c>
      <c r="F12" s="2" t="e">
        <f t="shared" si="2"/>
        <v>#DIV/0!</v>
      </c>
      <c r="G12" s="2"/>
      <c r="H12" s="2" t="e">
        <f t="shared" si="3"/>
        <v>#DIV/0!</v>
      </c>
      <c r="I12" s="2" t="e">
        <f t="shared" si="4"/>
        <v>#DIV/0!</v>
      </c>
      <c r="J12" s="2" t="e">
        <f t="shared" si="5"/>
        <v>#DIV/0!</v>
      </c>
      <c r="K12" s="2" t="e">
        <f t="shared" si="6"/>
        <v>#DIV/0!</v>
      </c>
      <c r="L12" s="2">
        <f t="shared" si="7"/>
        <v>0</v>
      </c>
      <c r="M12" s="2" t="e">
        <f t="shared" si="8"/>
        <v>#DIV/0!</v>
      </c>
      <c r="N12" s="2" t="e">
        <f t="shared" si="9"/>
        <v>#DIV/0!</v>
      </c>
    </row>
    <row r="13" spans="2:14" x14ac:dyDescent="0.25">
      <c r="C13" s="2">
        <f>SUM(C3:C12)</f>
        <v>0</v>
      </c>
      <c r="D13" s="2"/>
      <c r="E13" s="2" t="e">
        <f>SUM(E3:E12)</f>
        <v>#DIV/0!</v>
      </c>
      <c r="F13" s="2" t="e">
        <f>SUM(F3:F12)</f>
        <v>#DIV/0!</v>
      </c>
      <c r="G13" s="2">
        <f>SUM(G3:G12)</f>
        <v>0</v>
      </c>
      <c r="H13" s="2"/>
      <c r="I13" s="2" t="e">
        <f>SUM(I3:I12)</f>
        <v>#DIV/0!</v>
      </c>
      <c r="J13" s="2" t="e">
        <f>SUM(J3:J12)</f>
        <v>#DIV/0!</v>
      </c>
      <c r="K13" s="2" t="e">
        <f>SUM(K3:K12)</f>
        <v>#DIV/0!</v>
      </c>
      <c r="L13" s="2">
        <f>SUM(L3:L12)</f>
        <v>0</v>
      </c>
      <c r="M13" s="2"/>
      <c r="N13" s="2"/>
    </row>
    <row r="15" spans="2:14" x14ac:dyDescent="0.25">
      <c r="D15" s="14" t="s">
        <v>12</v>
      </c>
      <c r="E15" s="14" t="s">
        <v>16</v>
      </c>
    </row>
    <row r="16" spans="2:14" x14ac:dyDescent="0.25">
      <c r="C16" s="9"/>
      <c r="D16" s="2"/>
      <c r="E16" s="2"/>
    </row>
    <row r="17" spans="3:5" x14ac:dyDescent="0.25">
      <c r="C17" s="9"/>
      <c r="D17" s="2"/>
      <c r="E17" s="2"/>
    </row>
    <row r="18" spans="3:5" x14ac:dyDescent="0.25">
      <c r="C18" s="9"/>
      <c r="D18" s="2"/>
      <c r="E18" s="2"/>
    </row>
    <row r="19" spans="3:5" x14ac:dyDescent="0.25">
      <c r="C19" s="9"/>
      <c r="D19" s="2"/>
      <c r="E19" s="2"/>
    </row>
    <row r="20" spans="3:5" x14ac:dyDescent="0.25">
      <c r="C20" s="9"/>
      <c r="D20" s="2"/>
      <c r="E20" s="2"/>
    </row>
    <row r="21" spans="3:5" x14ac:dyDescent="0.25">
      <c r="C21" s="9"/>
      <c r="D21" s="2"/>
      <c r="E21" s="2"/>
    </row>
    <row r="22" spans="3:5" x14ac:dyDescent="0.25">
      <c r="C22" s="9"/>
      <c r="D22" s="2"/>
      <c r="E22" s="2"/>
    </row>
    <row r="23" spans="3:5" x14ac:dyDescent="0.25">
      <c r="C23" s="9"/>
      <c r="D23" s="2"/>
      <c r="E2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TOTAL PLANTILLA</vt:lpstr>
      <vt:lpstr>EDAD</vt:lpstr>
      <vt:lpstr>ANTIGÜEDAD</vt:lpstr>
      <vt:lpstr>NIVEL DE ESTUDIOS</vt:lpstr>
      <vt:lpstr>MODALIDAD CONTRATO</vt:lpstr>
      <vt:lpstr>PORCENTAJE DE JORNADA</vt:lpstr>
      <vt:lpstr>PUESTOS PROFESIONALES</vt:lpstr>
      <vt:lpstr>PUESTOS DIRECTIVOS</vt:lpstr>
      <vt:lpstr>ÁREAS FUNCIONALES</vt:lpstr>
      <vt:lpstr>TURNOS DE TRABAJO</vt:lpstr>
      <vt:lpstr>HIJOS</vt:lpstr>
      <vt:lpstr>BAJAS</vt:lpstr>
      <vt:lpstr>EXCEDENCIAS</vt:lpstr>
      <vt:lpstr>PERMISOS RETRIBUIDOS</vt:lpstr>
      <vt:lpstr>FORMACIÓN</vt:lpstr>
      <vt:lpstr>GRUPO PROFESIONAL</vt:lpstr>
      <vt:lpstr>RETRIBUCIONES</vt:lpstr>
      <vt:lpstr>EDAD NNCC</vt:lpstr>
      <vt:lpstr>MODALIDAD CONTRATO NNCC</vt:lpstr>
      <vt:lpstr>PORCENTAJE JORNADA NNCC</vt:lpstr>
      <vt:lpstr>PUESTOS PROFESIONALES NNCC</vt:lpstr>
      <vt:lpstr>ÁREAS FUNCIONALES NNCC</vt:lpstr>
      <vt:lpstr>EDAD PERSONAL SUBROGADO</vt:lpstr>
      <vt:lpstr>MODALIDAD CONTRATO PERSONAL SUB</vt:lpstr>
      <vt:lpstr>PORCENTAJE JORNADA PERSONAL SUB</vt:lpstr>
      <vt:lpstr>PUESTOS DIRECTIVOS PERSONAL SUB</vt:lpstr>
      <vt:lpstr>PUESTOS PROF. PERSONAL SUBROGAD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Fernández</dc:creator>
  <cp:lastModifiedBy>Practicas</cp:lastModifiedBy>
  <dcterms:created xsi:type="dcterms:W3CDTF">2024-06-25T15:12:17Z</dcterms:created>
  <dcterms:modified xsi:type="dcterms:W3CDTF">2026-05-05T13:33:39Z</dcterms:modified>
</cp:coreProperties>
</file>